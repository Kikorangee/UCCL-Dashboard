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Windows\SystemTemp\"/>
    </mc:Choice>
  </mc:AlternateContent>
  <xr:revisionPtr revIDLastSave="0" documentId="13_ncr:1_{E0B66E69-1A02-423A-9E52-6C1B94509783}" xr6:coauthVersionLast="47" xr6:coauthVersionMax="47" xr10:uidLastSave="{00000000-0000-0000-0000-000000000000}"/>
  <bookViews>
    <workbookView xWindow="-60" yWindow="-60" windowWidth="15480" windowHeight="11640" firstSheet="1" activeTab="1" xr2:uid="{00000000-000D-0000-FFFF-FFFF00000000}"/>
  </bookViews>
  <sheets>
    <sheet name="Data" sheetId="1" state="hidden" r:id="rId1"/>
    <sheet name="Report" sheetId="2" r:id="rId2"/>
    <sheet name="Summary" sheetId="3" r:id="rId3"/>
    <sheet name="Languages" sheetId="4" state="hidden" r:id="rId4"/>
  </sheets>
  <definedNames>
    <definedName name="_xlnm._FilterDatabase" localSheetId="1" hidden="1">Report!$A$7:$AB$7</definedName>
    <definedName name="AllData">Report!$A$7:$AB$140</definedName>
  </definedName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" l="1"/>
  <c r="B4" i="3"/>
  <c r="A2" i="3"/>
  <c r="C1" i="3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5" i="2"/>
  <c r="B4" i="2"/>
  <c r="A2" i="2"/>
  <c r="D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Device.25</t>
        </r>
      </text>
    </comment>
  </commentList>
</comments>
</file>

<file path=xl/sharedStrings.xml><?xml version="1.0" encoding="utf-8"?>
<sst xmlns="http://schemas.openxmlformats.org/spreadsheetml/2006/main" count="4752" uniqueCount="1786">
  <si>
    <t>VIN</t>
  </si>
  <si>
    <t>DeviceName</t>
  </si>
  <si>
    <t>DeviceDetailsLocation</t>
  </si>
  <si>
    <t>DeviceId</t>
  </si>
  <si>
    <t>DeviceComment</t>
  </si>
  <si>
    <t>DeviceGroup</t>
  </si>
  <si>
    <t>DeviceDetailsCurrentOdometer</t>
  </si>
  <si>
    <t>DeviceDeviceType</t>
  </si>
  <si>
    <t>DeviceProductId</t>
  </si>
  <si>
    <t>DeviceMajor</t>
  </si>
  <si>
    <t>DeviceMinor</t>
  </si>
  <si>
    <t>DeviceLicensePlate</t>
  </si>
  <si>
    <t>DeviceLicenseState</t>
  </si>
  <si>
    <t>DeviceVIN</t>
  </si>
  <si>
    <t>DeviceTimeZoneId</t>
  </si>
  <si>
    <t>DeviceStatusLastTrip</t>
  </si>
  <si>
    <t>DeviceDetailsDrivingState</t>
  </si>
  <si>
    <t>Location.ZoneZoneTypes</t>
  </si>
  <si>
    <t>DeviceDetailsCurrentEngineHours</t>
  </si>
  <si>
    <t>RunDate</t>
  </si>
  <si>
    <t>Location.ZoneExternalReference</t>
  </si>
  <si>
    <t>Mark</t>
  </si>
  <si>
    <t>John</t>
  </si>
  <si>
    <t>CompanyName</t>
  </si>
  <si>
    <t>DistanceUnit</t>
  </si>
  <si>
    <t>km</t>
  </si>
  <si>
    <t>DeviceProgrammingImmobilizeArming</t>
  </si>
  <si>
    <t>DeviceProgrammingSpeedingOn</t>
  </si>
  <si>
    <t>DeviceProgrammingSpeedingOff</t>
  </si>
  <si>
    <t>DeviceProgrammingIdleMinutes</t>
  </si>
  <si>
    <t>DeviceProgrammingRpmValue</t>
  </si>
  <si>
    <t>DeviceProgrammingHarshBrakeWarning</t>
  </si>
  <si>
    <t>DeviceProgrammingOdometerOffset</t>
  </si>
  <si>
    <t>DeviceProgrammingEngineHourOffset</t>
  </si>
  <si>
    <t>SendReport</t>
  </si>
  <si>
    <t>LastModifiedUser</t>
  </si>
  <si>
    <t>System</t>
  </si>
  <si>
    <t>DeviceDetailsModel</t>
  </si>
  <si>
    <t>DeviceDetailsYear</t>
  </si>
  <si>
    <t>DeviceDetailsExtra</t>
  </si>
  <si>
    <t>DeviceDetailsMake</t>
  </si>
  <si>
    <t>CurrentDriver.UserName</t>
  </si>
  <si>
    <t>DeviceActiveFrom</t>
  </si>
  <si>
    <t>DeviceActiveTo</t>
  </si>
  <si>
    <t>DeviceDetailsDevicePlan</t>
  </si>
  <si>
    <t>DeviceDetailsCurrentExceptions</t>
  </si>
  <si>
    <t>DeviceStatusAnalysisTroubleDownloadStatus</t>
  </si>
  <si>
    <t>OK</t>
  </si>
  <si>
    <t>English</t>
  </si>
  <si>
    <t>Spanish</t>
  </si>
  <si>
    <t>German</t>
  </si>
  <si>
    <t>Japanese</t>
  </si>
  <si>
    <t>**Device</t>
  </si>
  <si>
    <t>**Device Group</t>
  </si>
  <si>
    <t>**Current Driver</t>
  </si>
  <si>
    <t>**Current Activity</t>
  </si>
  <si>
    <t>**Last Stop Address</t>
  </si>
  <si>
    <t>**Last Stop Zone Types</t>
  </si>
  <si>
    <t>**Current Odometer</t>
  </si>
  <si>
    <t>**Current Engine Hours</t>
  </si>
  <si>
    <t>**Device Type</t>
  </si>
  <si>
    <t>**Firmware Version</t>
  </si>
  <si>
    <t>**Serial No.</t>
  </si>
  <si>
    <t>**License Plate</t>
  </si>
  <si>
    <t>**VIN</t>
  </si>
  <si>
    <t>**Time Zone</t>
  </si>
  <si>
    <t>**Device Comment</t>
  </si>
  <si>
    <t>**Download Status</t>
  </si>
  <si>
    <t>**Last Trip</t>
  </si>
  <si>
    <t>**Device Report</t>
  </si>
  <si>
    <t>**Distance Unit</t>
  </si>
  <si>
    <t>**Active from</t>
  </si>
  <si>
    <t>**Active to</t>
  </si>
  <si>
    <t>**License State/Province</t>
  </si>
  <si>
    <t>Dispositif</t>
  </si>
  <si>
    <t>Dispositivo</t>
  </si>
  <si>
    <t>Gerät</t>
  </si>
  <si>
    <t>デバイス</t>
  </si>
  <si>
    <t>Groupe de dispositifs</t>
  </si>
  <si>
    <t>Grupo de dispositivos</t>
  </si>
  <si>
    <t>Gerätegruppe</t>
  </si>
  <si>
    <t>デバイスグループ</t>
  </si>
  <si>
    <t>Chauffeur actuel</t>
  </si>
  <si>
    <t>Conductor actual</t>
  </si>
  <si>
    <t>Aktueller Fahrer</t>
  </si>
  <si>
    <t>現在のドライバー</t>
  </si>
  <si>
    <t>Activité actuelle</t>
  </si>
  <si>
    <t>Actividad actual</t>
  </si>
  <si>
    <t>Aktuelle Aktivität</t>
  </si>
  <si>
    <t>Adresse du dernier arrêt</t>
  </si>
  <si>
    <t>Dirección de la última parada</t>
  </si>
  <si>
    <t>Adresse letzter Stopp</t>
  </si>
  <si>
    <t>最終停車地の住所</t>
  </si>
  <si>
    <t>Type de zones du dernier arrêt</t>
  </si>
  <si>
    <t>Tipos de zona de la última parada</t>
  </si>
  <si>
    <t>Zonentyp letzter Stopp</t>
  </si>
  <si>
    <t>最終停車地のゾーンタイプ</t>
  </si>
  <si>
    <t>Odomètre actuel</t>
  </si>
  <si>
    <t>Odómetro actual</t>
  </si>
  <si>
    <t>Derzeitiger Kilometerstand</t>
  </si>
  <si>
    <t>現在のオドメーター</t>
  </si>
  <si>
    <t>Heures de moteur actuelles</t>
  </si>
  <si>
    <t>Horas del motor actual</t>
  </si>
  <si>
    <t>Aktuelle Betriebsstunden</t>
  </si>
  <si>
    <t>現在のエンジン稼働時間</t>
  </si>
  <si>
    <t>Actif depuis</t>
  </si>
  <si>
    <t>Activo desde</t>
  </si>
  <si>
    <t>Aktiv seit</t>
  </si>
  <si>
    <t>アクティブ開始：</t>
  </si>
  <si>
    <t>Actif jusqu’à</t>
  </si>
  <si>
    <t>Activo hasta</t>
  </si>
  <si>
    <t>Aktiv bis</t>
  </si>
  <si>
    <t>アクティブ終了：</t>
  </si>
  <si>
    <t>Type de dispositif</t>
  </si>
  <si>
    <t>Tipo de dispositivo</t>
  </si>
  <si>
    <t>Gerätetyp</t>
  </si>
  <si>
    <t>デバイスの種類</t>
  </si>
  <si>
    <t>Version du micrologiciel</t>
  </si>
  <si>
    <t>Versión de firmware</t>
  </si>
  <si>
    <t>Firmware-Version</t>
  </si>
  <si>
    <t>ファームウェア・バージョン</t>
  </si>
  <si>
    <t>Numéro de série</t>
  </si>
  <si>
    <t>Número de serie</t>
  </si>
  <si>
    <t>Serien-Nr.</t>
  </si>
  <si>
    <t>シリアル番号</t>
  </si>
  <si>
    <t>Plaque d'immatriculation</t>
  </si>
  <si>
    <t>Placa</t>
  </si>
  <si>
    <t>Nummernschild</t>
  </si>
  <si>
    <t>ナンバープレート</t>
  </si>
  <si>
    <t>Province/État d'immatriculation</t>
  </si>
  <si>
    <t>Provincia/Estado de matrícula</t>
  </si>
  <si>
    <t>Land/Provinz der Lizensierung</t>
  </si>
  <si>
    <t>免許（国または州）</t>
  </si>
  <si>
    <t>NIV</t>
  </si>
  <si>
    <t>VIN Fahrgestellnummer</t>
  </si>
  <si>
    <t>Fuseau horaire</t>
  </si>
  <si>
    <t>Huso horario</t>
  </si>
  <si>
    <t>Zeitzone</t>
  </si>
  <si>
    <t>タイムゾーン</t>
  </si>
  <si>
    <t>Remarque sur le dispositif</t>
  </si>
  <si>
    <t>Comentario sobre el dispositivo</t>
  </si>
  <si>
    <t>Geräteanmerkung</t>
  </si>
  <si>
    <t>デバイスコメント</t>
  </si>
  <si>
    <t>État du téléchargement</t>
  </si>
  <si>
    <t>Estado de la descarga</t>
  </si>
  <si>
    <t>Downloadstatus</t>
  </si>
  <si>
    <t>ダウンロードステータス</t>
  </si>
  <si>
    <t>Dernier trajet</t>
  </si>
  <si>
    <t>Último viaje</t>
  </si>
  <si>
    <t>Letzte Fahrt</t>
  </si>
  <si>
    <t>最終の走行</t>
  </si>
  <si>
    <t>Rapport de dispositifs</t>
  </si>
  <si>
    <t>Reporte de dispositivos</t>
  </si>
  <si>
    <t>Gerätebericht</t>
  </si>
  <si>
    <t>デバイスレポート</t>
  </si>
  <si>
    <t>Unité de distance</t>
  </si>
  <si>
    <t>Unidad de distancia</t>
  </si>
  <si>
    <t>Entfernungseinheit</t>
  </si>
  <si>
    <t>距離の単位</t>
  </si>
  <si>
    <t>Language</t>
  </si>
  <si>
    <t>en</t>
  </si>
  <si>
    <t>**First Name</t>
  </si>
  <si>
    <t>**Last Name</t>
  </si>
  <si>
    <t>Prénom</t>
  </si>
  <si>
    <t>Nombre</t>
  </si>
  <si>
    <t>Vorname</t>
  </si>
  <si>
    <t>ファーストネー</t>
  </si>
  <si>
    <t>Nom de famille</t>
  </si>
  <si>
    <t>Apellido</t>
  </si>
  <si>
    <t>Nachname</t>
  </si>
  <si>
    <t>ラストネーム</t>
  </si>
  <si>
    <t>CurrentDriver.UserFirstName</t>
  </si>
  <si>
    <t>CurrentDriver.UserLastName</t>
  </si>
  <si>
    <t>Nazwisko</t>
  </si>
  <si>
    <t>Aktualny kierowca</t>
  </si>
  <si>
    <t>Ostatni adres postoju</t>
  </si>
  <si>
    <t>Typy stref ostatniego postoju</t>
  </si>
  <si>
    <t>Aktualny stan licznika</t>
  </si>
  <si>
    <t>Aktywny od</t>
  </si>
  <si>
    <t>Aktywny do</t>
  </si>
  <si>
    <t>Typ urzadzenia</t>
  </si>
  <si>
    <t>Numer seryjny</t>
  </si>
  <si>
    <t>Tablica rejestracyjna</t>
  </si>
  <si>
    <t>Strefa czasowa</t>
  </si>
  <si>
    <t>Status pobierania</t>
  </si>
  <si>
    <t>Ostatni przejazd</t>
  </si>
  <si>
    <t>Raport dotyczacy urzadzenia</t>
  </si>
  <si>
    <t>Polish</t>
  </si>
  <si>
    <t>Urzadzenie</t>
  </si>
  <si>
    <t>Imie</t>
  </si>
  <si>
    <t>Grupa urzadzen</t>
  </si>
  <si>
    <t>Aktualna aktywnosc</t>
  </si>
  <si>
    <t>Biezace godziny pracy silnika</t>
  </si>
  <si>
    <t>Wersja oprogramowania ukladowego</t>
  </si>
  <si>
    <t>Organ wydajacy prawo jazdy</t>
  </si>
  <si>
    <t>Komentarz urzadzenia</t>
  </si>
  <si>
    <t>Jednostka odleglosci</t>
  </si>
  <si>
    <t>現在のアクティビティ</t>
  </si>
  <si>
    <t>Portuguese-Brazil</t>
  </si>
  <si>
    <t>Nome</t>
  </si>
  <si>
    <t>Sobrenome</t>
  </si>
  <si>
    <t>Grupo de dispositivo</t>
  </si>
  <si>
    <t>Versão de firmware</t>
  </si>
  <si>
    <t>Placa/Província:</t>
  </si>
  <si>
    <t>Zona horária</t>
  </si>
  <si>
    <t>Comentário do dispositivo</t>
  </si>
  <si>
    <t>Relatório de dispositivos</t>
  </si>
  <si>
    <t>Motorista atual</t>
  </si>
  <si>
    <t>Atividade atual</t>
  </si>
  <si>
    <t>Último endereço de parada</t>
  </si>
  <si>
    <t>Últimos tipos da zona de parada</t>
  </si>
  <si>
    <t>Horas de motor atuais</t>
  </si>
  <si>
    <t>Nº de série</t>
  </si>
  <si>
    <t>Status do Download</t>
  </si>
  <si>
    <t>Última viagem</t>
  </si>
  <si>
    <t>Unidade de distância</t>
  </si>
  <si>
    <t>Dutch</t>
  </si>
  <si>
    <t>Apparaat</t>
  </si>
  <si>
    <t>Voornaam</t>
  </si>
  <si>
    <t>Achternaam</t>
  </si>
  <si>
    <t>Apparaatgroep</t>
  </si>
  <si>
    <t>Huidige chauffeur</t>
  </si>
  <si>
    <t>Huidige activiteit</t>
  </si>
  <si>
    <t>Laatste stopadres</t>
  </si>
  <si>
    <t>Types laatste stopzone</t>
  </si>
  <si>
    <t>Huidige kilometerteller</t>
  </si>
  <si>
    <t>Huidige motoruren</t>
  </si>
  <si>
    <t>Actief van</t>
  </si>
  <si>
    <t>Actie tot</t>
  </si>
  <si>
    <t>Apparaattype</t>
  </si>
  <si>
    <t>Firmwareversie</t>
  </si>
  <si>
    <t>Serienr.</t>
  </si>
  <si>
    <t>Kentekenplaat</t>
  </si>
  <si>
    <t>Staat/provincie licentie</t>
  </si>
  <si>
    <t>Tijdzone</t>
  </si>
  <si>
    <t>Aantekening apparaat</t>
  </si>
  <si>
    <t>Laatste trip</t>
  </si>
  <si>
    <t>Apparaatrapport</t>
  </si>
  <si>
    <t>Afstandseenheid</t>
  </si>
  <si>
    <t>Italian</t>
  </si>
  <si>
    <t>Contachilometri attuale</t>
  </si>
  <si>
    <t>Tipo dispositivo</t>
  </si>
  <si>
    <t>Stato/provincia della licenza</t>
  </si>
  <si>
    <t>Fuso orario</t>
  </si>
  <si>
    <t>Cognome</t>
  </si>
  <si>
    <t>Gruppo di dispositivi</t>
  </si>
  <si>
    <t>Conducente attuale</t>
  </si>
  <si>
    <t>Attività attuale</t>
  </si>
  <si>
    <t>Indirizzo dell'ultima sosta</t>
  </si>
  <si>
    <t>Tipi di zona dell'ultima sosta</t>
  </si>
  <si>
    <t>Ore motore attuali</t>
  </si>
  <si>
    <t>Attivo da</t>
  </si>
  <si>
    <t>Attivo fino a</t>
  </si>
  <si>
    <t>Versione del firmware</t>
  </si>
  <si>
    <t>N. di serie</t>
  </si>
  <si>
    <t>Targa</t>
  </si>
  <si>
    <t>Commento sul dispositivo</t>
  </si>
  <si>
    <t>Stato di download</t>
  </si>
  <si>
    <t>Ultimo viaggio</t>
  </si>
  <si>
    <t>Unità di distanza</t>
  </si>
  <si>
    <t>DeviceDetailsPrivacyMode</t>
  </si>
  <si>
    <t>**In Privacy Mode</t>
  </si>
  <si>
    <t>设备</t>
  </si>
  <si>
    <t>名字</t>
  </si>
  <si>
    <t>姓氏</t>
  </si>
  <si>
    <t>设备的组名</t>
  </si>
  <si>
    <t>当前驾驶员</t>
  </si>
  <si>
    <t>当前活动</t>
  </si>
  <si>
    <t>上次停车地址</t>
  </si>
  <si>
    <t>上次停车区类型</t>
  </si>
  <si>
    <t>当前发动机运转小时数</t>
  </si>
  <si>
    <t>激活自</t>
  </si>
  <si>
    <t>激活至</t>
  </si>
  <si>
    <t>固件版本</t>
  </si>
  <si>
    <t>序列号</t>
  </si>
  <si>
    <t>牌照</t>
  </si>
  <si>
    <t>上牌州/省</t>
  </si>
  <si>
    <t>设备注释</t>
  </si>
  <si>
    <t>下载状态</t>
  </si>
  <si>
    <t>上次行程时间</t>
  </si>
  <si>
    <t>距离单位</t>
  </si>
  <si>
    <t>In Privacy Mode</t>
  </si>
  <si>
    <t>Simplified Chinese</t>
  </si>
  <si>
    <t>当前里程</t>
  </si>
  <si>
    <t>设备类型</t>
  </si>
  <si>
    <t>时区</t>
  </si>
  <si>
    <t>设备报告</t>
  </si>
  <si>
    <t>私人模式</t>
  </si>
  <si>
    <t>Hodômetro atual</t>
  </si>
  <si>
    <t>WorkTimeName</t>
  </si>
  <si>
    <t>Temps travaillé</t>
  </si>
  <si>
    <t>Horas de trabajo</t>
  </si>
  <si>
    <t>就業時間</t>
  </si>
  <si>
    <t>Arbeitszeit</t>
  </si>
  <si>
    <t>Czas pracy</t>
  </si>
  <si>
    <t>Horário de trabalho</t>
  </si>
  <si>
    <t>Werktijd</t>
  </si>
  <si>
    <t>Tempo di lavoro</t>
  </si>
  <si>
    <t>工作时间</t>
  </si>
  <si>
    <t>**Work time</t>
  </si>
  <si>
    <t>**Is Archived (Historical)</t>
  </si>
  <si>
    <t>Est archivé (historique)</t>
  </si>
  <si>
    <t>Está archivado (histórico)</t>
  </si>
  <si>
    <t>Ist archiviert (historisch)</t>
  </si>
  <si>
    <t>アーカイブ済み（履歴）</t>
  </si>
  <si>
    <t>Jest zarchiwizowany (historyczny)</t>
  </si>
  <si>
    <t>Está arquivado (histórico)</t>
  </si>
  <si>
    <t>Is gearchiveerd (historisch)</t>
  </si>
  <si>
    <t>È archiviato (storico)</t>
  </si>
  <si>
    <t>已存档（历史）</t>
  </si>
  <si>
    <t>TimeZone</t>
  </si>
  <si>
    <t>**Report Time Zone</t>
  </si>
  <si>
    <t>AutoVehicleManagement</t>
    <phoneticPr fontId="14" type="noConversion"/>
  </si>
  <si>
    <t>HosSettings</t>
    <phoneticPr fontId="14" type="noConversion"/>
  </si>
  <si>
    <t>Thai</t>
  </si>
  <si>
    <t>อุปกรณ์</t>
  </si>
  <si>
    <t>ชื่อ</t>
  </si>
  <si>
    <t>นามสกุล</t>
  </si>
  <si>
    <t>กลุ่มอุปกรณ์</t>
  </si>
  <si>
    <t>ผู้ขับปัจจุบัน</t>
  </si>
  <si>
    <t>กิจกรรมปัจจุบัน</t>
  </si>
  <si>
    <t>ที่อยู่ที่หยุดครั้งสุดท้าย</t>
  </si>
  <si>
    <t>ประเภทโซนที่หยุดครั้งสุดท้าย</t>
  </si>
  <si>
    <t>มาตรระยะทางปัจจุบัน</t>
  </si>
  <si>
    <t>จำนวนชั่วโมงเดินเครื่องปัจจุบัน</t>
  </si>
  <si>
    <t>ใช้งานตั้งแต่</t>
  </si>
  <si>
    <t>ใช้งานถึง</t>
  </si>
  <si>
    <t>ได้รับการจัดเก็บถาวร (เก็บประวัติ)</t>
  </si>
  <si>
    <t>ประเภทอุปกรณ์</t>
  </si>
  <si>
    <t>เวอร์ชันเฟิร์มแวร์</t>
  </si>
  <si>
    <t>หมายเลขซีเรียล</t>
  </si>
  <si>
    <t>ป้ายทะเบียน</t>
  </si>
  <si>
    <t>รัฐ/จังหวัดของใบอนุญาต</t>
  </si>
  <si>
    <t>โซนเวลา</t>
  </si>
  <si>
    <t>ความคิดเห็นสำหรับอุปกรณ์</t>
  </si>
  <si>
    <t>สถานะการดาวน์โหลด</t>
  </si>
  <si>
    <t>เที่ยวขับล่าสุด</t>
  </si>
  <si>
    <t>รายงานอุปกรณ์</t>
  </si>
  <si>
    <t>หน่วยระยะทาง</t>
  </si>
  <si>
    <t>ในโหมดส่วนตัว</t>
  </si>
  <si>
    <t>เวลาทำงาน</t>
  </si>
  <si>
    <t>โซนเวลาของรายงาน</t>
  </si>
  <si>
    <t>Indonesian</t>
  </si>
  <si>
    <t>Perangkat</t>
  </si>
  <si>
    <t>Nama Depan</t>
  </si>
  <si>
    <t>Nama belakang</t>
  </si>
  <si>
    <t>Grup Perangkat</t>
  </si>
  <si>
    <t>Pengemudi Saat Ini</t>
  </si>
  <si>
    <t>Aktivitas Saat Ini</t>
  </si>
  <si>
    <t>Odometer Saat Ini</t>
  </si>
  <si>
    <t>Jam Mesin Saat Ini</t>
  </si>
  <si>
    <t>Aktif dari</t>
  </si>
  <si>
    <t>Aktif sampai</t>
  </si>
  <si>
    <t xml:space="preserve"> Archived (Historical)</t>
  </si>
  <si>
    <t>Jenis Perangkat</t>
  </si>
  <si>
    <t>Versi Firmware</t>
  </si>
  <si>
    <t>Nomor seri</t>
  </si>
  <si>
    <t>Pelat Nomor</t>
  </si>
  <si>
    <t>Negara bagian/provinsi SIM</t>
  </si>
  <si>
    <t>Zona Waktu</t>
  </si>
  <si>
    <t>Komentar Perangkat</t>
  </si>
  <si>
    <t>Status Unduh</t>
  </si>
  <si>
    <t>Last Trip</t>
  </si>
  <si>
    <t>Laporan Perangkat</t>
  </si>
  <si>
    <t>Satuan Jarak</t>
  </si>
  <si>
    <t>Waktu kerja</t>
  </si>
  <si>
    <t>Report dispositivo</t>
  </si>
  <si>
    <t>Czech</t>
  </si>
  <si>
    <t>Swedish</t>
  </si>
  <si>
    <t>Zařízení</t>
  </si>
  <si>
    <t>Enhet</t>
  </si>
  <si>
    <t>Křestní jméno</t>
  </si>
  <si>
    <t>Förnamn</t>
  </si>
  <si>
    <t>Příjmení</t>
  </si>
  <si>
    <t>Efternamn</t>
  </si>
  <si>
    <t>Skupina zařízení</t>
  </si>
  <si>
    <t>Enhetsgrupp</t>
  </si>
  <si>
    <t>Aktuální řidič</t>
  </si>
  <si>
    <t>Aktuell förare</t>
  </si>
  <si>
    <t>Aktuální aktivita</t>
  </si>
  <si>
    <t>Nuvarande aktivitet</t>
  </si>
  <si>
    <t>Adresa poslední zastávky</t>
  </si>
  <si>
    <t>Senaste stoppadress</t>
  </si>
  <si>
    <t>Typy zón poslední zastávky</t>
  </si>
  <si>
    <t>Senaste stoppzonstyper</t>
  </si>
  <si>
    <t>Aktuální počítadlo ujetých kilometrů</t>
  </si>
  <si>
    <t>Aktuell mätarställning</t>
  </si>
  <si>
    <t>Aktuální doba chodu motoru</t>
  </si>
  <si>
    <t>Nuvarande motortimmar</t>
  </si>
  <si>
    <t>Aktivní od</t>
  </si>
  <si>
    <t>Aktiv från</t>
  </si>
  <si>
    <t>Aktivní do</t>
  </si>
  <si>
    <t>Aktiv till</t>
  </si>
  <si>
    <t>Je archivované (historické)</t>
  </si>
  <si>
    <t>Är arkiverad (historisk)</t>
  </si>
  <si>
    <t>Typ zařízení</t>
  </si>
  <si>
    <t>Enhetstyp</t>
  </si>
  <si>
    <t>Verze firmwaru</t>
  </si>
  <si>
    <t>Fast programvaruversion</t>
  </si>
  <si>
    <t>Sériové č.</t>
  </si>
  <si>
    <t>Serienummer</t>
  </si>
  <si>
    <t>Registrační značka</t>
  </si>
  <si>
    <t>Registreringsskylt</t>
  </si>
  <si>
    <t>Stát/provincie licence</t>
  </si>
  <si>
    <t>Licensstad/-kommun</t>
  </si>
  <si>
    <t>Časové pásmo</t>
  </si>
  <si>
    <t>Tidszon</t>
  </si>
  <si>
    <t>Komentář k zařízení</t>
  </si>
  <si>
    <t>Enhetskommentar</t>
  </si>
  <si>
    <t>Stav stahování</t>
  </si>
  <si>
    <t>Nedladdningsstatus</t>
  </si>
  <si>
    <t>Poslední cesta</t>
  </si>
  <si>
    <t>Senaste färden</t>
  </si>
  <si>
    <t>Výkaz o zařízení</t>
  </si>
  <si>
    <t>Enhetsrapport</t>
  </si>
  <si>
    <t>Jednotka vzdálenosti</t>
  </si>
  <si>
    <t>Distansenhet</t>
  </si>
  <si>
    <t>V soukromém režimu</t>
  </si>
  <si>
    <t>I sekretessläge</t>
  </si>
  <si>
    <t>Pracovní doba</t>
  </si>
  <si>
    <t>Arbetstid</t>
  </si>
  <si>
    <t>Rapportera tidszon</t>
  </si>
  <si>
    <t>DeviceEngineVIN</t>
  </si>
  <si>
    <t>**Plan</t>
  </si>
  <si>
    <t>Last Stop Address</t>
  </si>
  <si>
    <t>Last Stop Zone Types</t>
  </si>
  <si>
    <t>Device ID</t>
  </si>
  <si>
    <t>Forfait</t>
  </si>
  <si>
    <t>Plan</t>
  </si>
  <si>
    <t>プラン</t>
  </si>
  <si>
    <t>Plano</t>
  </si>
  <si>
    <t>Piano</t>
  </si>
  <si>
    <t>计划</t>
  </si>
  <si>
    <t>แผน</t>
  </si>
  <si>
    <t>Paket</t>
  </si>
  <si>
    <t>Plán</t>
  </si>
  <si>
    <t>Ativo até</t>
  </si>
  <si>
    <t>Ativo desde</t>
  </si>
  <si>
    <t>Turkish</t>
  </si>
  <si>
    <t>Aygıt</t>
  </si>
  <si>
    <t>Ad</t>
  </si>
  <si>
    <t>Soyadı</t>
  </si>
  <si>
    <t>Aygıt Grubu</t>
  </si>
  <si>
    <t>Geçerli Sürücü</t>
  </si>
  <si>
    <t>Geçerli Etkinlik</t>
  </si>
  <si>
    <t>Son Duraklama Adresi</t>
  </si>
  <si>
    <t>Son Duraklama Alan Türleri</t>
  </si>
  <si>
    <t>Geçerli Kilometre Sayacı</t>
  </si>
  <si>
    <t>Geçerli Motor Saati</t>
  </si>
  <si>
    <t>Bu tarihten itibaren aktif</t>
  </si>
  <si>
    <t>Şuna kadar aktif:</t>
  </si>
  <si>
    <t>Arşivlendi (Tarihi)</t>
  </si>
  <si>
    <t>Aygıt Türü</t>
  </si>
  <si>
    <t>Bellenim Sürümü</t>
  </si>
  <si>
    <t>Seri No.</t>
  </si>
  <si>
    <t>Plaka</t>
  </si>
  <si>
    <t>Ehliyet Eyaleti/İli</t>
  </si>
  <si>
    <t>Araç Şasi Numarası (VIN)</t>
  </si>
  <si>
    <t>Saat Dilimi</t>
  </si>
  <si>
    <t>Aygıt Açıklaması</t>
  </si>
  <si>
    <t>İndirme Durumu</t>
  </si>
  <si>
    <t>Son Yolculuk</t>
  </si>
  <si>
    <t>Aygıt Raporu</t>
  </si>
  <si>
    <t>Mesafe Birimi</t>
  </si>
  <si>
    <t>Gizlilik Modunda</t>
  </si>
  <si>
    <t>Çalışma zamanı</t>
  </si>
  <si>
    <t>Rapor Saat Dilimi</t>
  </si>
  <si>
    <t>DeviceParentGroup</t>
  </si>
  <si>
    <t>**Last Communication Date</t>
  </si>
  <si>
    <t>DeviceStatusLastGpsRecord</t>
  </si>
  <si>
    <t>Date de la dernière communication</t>
  </si>
  <si>
    <t>Última fecha de comunicación</t>
  </si>
  <si>
    <t>Datum der letzten Kommunikation</t>
  </si>
  <si>
    <t>前回の通信日</t>
  </si>
  <si>
    <t>Data ostatniej komunikacji</t>
  </si>
  <si>
    <t>Última data de comunicação</t>
  </si>
  <si>
    <t>Laatste communicatiedatum</t>
  </si>
  <si>
    <t>Data ultima comunicazione</t>
  </si>
  <si>
    <t>上次通信日期</t>
  </si>
  <si>
    <t>วันที่สื่อสารล่าสุด</t>
  </si>
  <si>
    <t>Tanggal Komunikasi Terakhir</t>
  </si>
  <si>
    <t>Datum poslední komunikace</t>
  </si>
  <si>
    <t>Senaste kommunikationsdatum</t>
  </si>
  <si>
    <t>Son İletişim Tarihi</t>
  </si>
  <si>
    <t>Malay</t>
  </si>
  <si>
    <t>Peranti</t>
  </si>
  <si>
    <t>Nama pertama</t>
  </si>
  <si>
    <t>Nama keluarga</t>
  </si>
  <si>
    <t>Kumpulan Peranti</t>
  </si>
  <si>
    <t>Pemandu semasa</t>
  </si>
  <si>
    <t>Aktiviti Semasa</t>
  </si>
  <si>
    <t>Alamat Hentian Terakhir</t>
  </si>
  <si>
    <t>Jenis Zon Hentian Terakhir</t>
  </si>
  <si>
    <t>Odometer semasa</t>
  </si>
  <si>
    <t>Jam Enjin Beroperasi Semasa</t>
  </si>
  <si>
    <t>Aktif hingga</t>
  </si>
  <si>
    <t>Diarkibkan (Sejarah)</t>
  </si>
  <si>
    <t>Jenis peranti</t>
  </si>
  <si>
    <t>Versi Perisian Tegar</t>
  </si>
  <si>
    <t>No. Siri</t>
  </si>
  <si>
    <t>Plat nombor</t>
  </si>
  <si>
    <t>Negeri/daerah lesen</t>
  </si>
  <si>
    <t>Zon Waktu</t>
  </si>
  <si>
    <t>Komen Peranti</t>
  </si>
  <si>
    <t>Status Muat Turun</t>
  </si>
  <si>
    <t>Perjalanan Terakhir</t>
  </si>
  <si>
    <t>Tarikh Komunikasi Terakhir</t>
  </si>
  <si>
    <t>Laporan Peranti</t>
  </si>
  <si>
    <t>Unit Jarak</t>
  </si>
  <si>
    <t>Dalam Mod Privasi</t>
  </si>
  <si>
    <t>Zon Waktu Laporan</t>
  </si>
  <si>
    <t>Pelan</t>
  </si>
  <si>
    <t>French France</t>
  </si>
  <si>
    <t>Boîtier</t>
  </si>
  <si>
    <t>Groupe de boîtiers</t>
  </si>
  <si>
    <t>Conducteur actuel</t>
  </si>
  <si>
    <t>Type de zone du dernier arrêt</t>
  </si>
  <si>
    <t>Heures-moteur actuelles</t>
  </si>
  <si>
    <t>Type de boîtier</t>
  </si>
  <si>
    <t>Version du firmware</t>
  </si>
  <si>
    <t>No. de série</t>
  </si>
  <si>
    <t>Plaque d’immatriculation</t>
  </si>
  <si>
    <t>État/province du permis</t>
  </si>
  <si>
    <t>Commentaires du boîtier</t>
  </si>
  <si>
    <t>Rapport du boîtier</t>
  </si>
  <si>
    <t>En mode personnel</t>
  </si>
  <si>
    <t>Heures de travail</t>
  </si>
  <si>
    <t>Fuseau horaire du rapport</t>
  </si>
  <si>
    <t>DeviceGroup|Company Group</t>
  </si>
  <si>
    <t>French Canada</t>
  </si>
  <si>
    <t>Zona horaria del informe</t>
  </si>
  <si>
    <t>レポートのタイムゾーン</t>
  </si>
  <si>
    <t>Zeitzone des Berichts</t>
  </si>
  <si>
    <t>Strefa czasowa raportu</t>
  </si>
  <si>
    <t>Fuso horário do relatório</t>
  </si>
  <si>
    <t>Tijdzone rapport</t>
  </si>
  <si>
    <t>Fuso orario del report</t>
  </si>
  <si>
    <t>报告时区</t>
  </si>
  <si>
    <t>Zona Waktu Laporan</t>
  </si>
  <si>
    <t>Časové pásmo výkazu</t>
  </si>
  <si>
    <t>DeviceCommunicationStatusStateInfo</t>
  </si>
  <si>
    <t>DeviceCommunicationStatusState</t>
  </si>
  <si>
    <t>Korean</t>
  </si>
  <si>
    <t>장치</t>
  </si>
  <si>
    <t>이름</t>
  </si>
  <si>
    <t>성</t>
  </si>
  <si>
    <t>장치 그룹</t>
  </si>
  <si>
    <t>현재 운전자</t>
  </si>
  <si>
    <t>현재 활동</t>
  </si>
  <si>
    <t>마지막 정지 주소</t>
  </si>
  <si>
    <t>마지막 정지 구역 유형</t>
  </si>
  <si>
    <t>현재 주행 기록계</t>
  </si>
  <si>
    <t>현재 엔진 시간</t>
  </si>
  <si>
    <t>활성 시작</t>
  </si>
  <si>
    <t>활성 종료</t>
  </si>
  <si>
    <t>보관됨(과거)</t>
  </si>
  <si>
    <t>장치 유형</t>
  </si>
  <si>
    <t>펌웨어 버전</t>
  </si>
  <si>
    <t>일련번호</t>
  </si>
  <si>
    <t>번호판</t>
  </si>
  <si>
    <t>주 면허증</t>
  </si>
  <si>
    <t>시간대</t>
  </si>
  <si>
    <t>장치 주석</t>
  </si>
  <si>
    <t>다운로드 상태</t>
  </si>
  <si>
    <t>마지막 주행</t>
  </si>
  <si>
    <t>마지막 통신 날짜</t>
  </si>
  <si>
    <t>장치 보고서</t>
  </si>
  <si>
    <t>거리 단위</t>
  </si>
  <si>
    <t>개인 정보 보호 모드</t>
  </si>
  <si>
    <t>작업 시간</t>
  </si>
  <si>
    <t>보고서 시간대</t>
  </si>
  <si>
    <t>계획</t>
  </si>
  <si>
    <t>Traditional Chinese</t>
  </si>
  <si>
    <t>裝置</t>
  </si>
  <si>
    <t>裝置群組</t>
  </si>
  <si>
    <t>目前駕駛</t>
  </si>
  <si>
    <t>目前活動</t>
  </si>
  <si>
    <t>上次停靠站地址</t>
  </si>
  <si>
    <t>上次停車區域類型</t>
  </si>
  <si>
    <t>目前里程表</t>
  </si>
  <si>
    <t>目前引擎時數</t>
  </si>
  <si>
    <t>使用中自</t>
  </si>
  <si>
    <t>使用中至</t>
  </si>
  <si>
    <t>是已封存 (歷史)</t>
  </si>
  <si>
    <t>裝置類型</t>
  </si>
  <si>
    <t>韌體版本</t>
  </si>
  <si>
    <t>序號</t>
  </si>
  <si>
    <t>車牌</t>
  </si>
  <si>
    <t>執照所屬州/省</t>
  </si>
  <si>
    <t>時區</t>
  </si>
  <si>
    <t>裝置註解</t>
  </si>
  <si>
    <t>下載狀態</t>
  </si>
  <si>
    <t>最後一個行程</t>
  </si>
  <si>
    <t>上次通訊日期</t>
  </si>
  <si>
    <t>裝置報告</t>
  </si>
  <si>
    <t>距離單位</t>
  </si>
  <si>
    <t>在隱私模式</t>
  </si>
  <si>
    <t>工作時間</t>
  </si>
  <si>
    <t>報告時區</t>
  </si>
  <si>
    <t>計劃</t>
  </si>
  <si>
    <t>United Civil Construction Limited</t>
  </si>
  <si>
    <t>Pacific/Auckland</t>
  </si>
  <si>
    <t>DeviceSerialNumber</t>
  </si>
  <si>
    <t>1</t>
  </si>
  <si>
    <t>b2F2</t>
  </si>
  <si>
    <t>Vehicle, EV/Other Management</t>
  </si>
  <si>
    <t>Company Group&gt;Asset Information&gt;Asset Type&gt;Vehicle, Company Group&gt;EV/Other Management</t>
  </si>
  <si>
    <t>EV/Other Management, Vehicle</t>
  </si>
  <si>
    <t>Standard Hours</t>
  </si>
  <si>
    <t>Terminate Mode,UI</t>
  </si>
  <si>
    <t>Version 9</t>
  </si>
  <si>
    <t>0</t>
  </si>
  <si>
    <t>G9W1PJSDBFNV</t>
  </si>
  <si>
    <t>On</t>
  </si>
  <si>
    <t>?</t>
  </si>
  <si>
    <t>UTC</t>
  </si>
  <si>
    <t>DeviceTerminated</t>
  </si>
  <si>
    <t>The device Rate Plan has been terminated, and cannot be reactivated.
Contact your fleet's Telematics Representative to order a new device.</t>
  </si>
  <si>
    <t>VIN Error: CouldNotDecodeError;</t>
  </si>
  <si>
    <t>103</t>
  </si>
  <si>
    <t>b161</t>
  </si>
  <si>
    <t>Digger, Excavator/Tradestaff, Machines, Trade Staff</t>
  </si>
  <si>
    <t>Company Group&gt;Asset Information&gt;Asset Type&gt;Vehicle&gt;Digger, Company Group&gt;Excavator/Tradestaff, Company Group&gt;Machines, Company Group&gt;Trade Staff</t>
  </si>
  <si>
    <t>GO Mode,Garmin,HOS,Iridium,UI</t>
  </si>
  <si>
    <t>Stopped</t>
  </si>
  <si>
    <t>Channel Infrastructure</t>
  </si>
  <si>
    <t>Channel Infrastructure: 41 Mair Road, Marsden Point 0171, New Zealand</t>
  </si>
  <si>
    <t>Project</t>
  </si>
  <si>
    <t>42</t>
  </si>
  <si>
    <t>57</t>
  </si>
  <si>
    <t>G9JS3X5N41M7</t>
  </si>
  <si>
    <t>EUG563</t>
  </si>
  <si>
    <t>@@@@@@@@@@@@@@@@@</t>
  </si>
  <si>
    <t>14T Hitachi ZX140W-3 2009</t>
  </si>
  <si>
    <t>1080</t>
  </si>
  <si>
    <t>b2C5</t>
  </si>
  <si>
    <t>Generator, Generator/Trade Staff, Trade Staff</t>
  </si>
  <si>
    <t>Company Group&gt;Asset Information&gt;Asset Type&gt;Vehicle&gt;Generator, Company Group&gt;Generator/Trade Staff, Company Group&gt;Trade Staff</t>
  </si>
  <si>
    <t>None</t>
  </si>
  <si>
    <t>NotApplicable</t>
  </si>
  <si>
    <t>P9 Fox</t>
  </si>
  <si>
    <t>1081</t>
  </si>
  <si>
    <t>b2C6</t>
  </si>
  <si>
    <t>P15 Fox</t>
  </si>
  <si>
    <t>111</t>
  </si>
  <si>
    <t>b176</t>
  </si>
  <si>
    <t>Digger, Battery Electric Vehicle, Excavator/Tradestaff, Machines</t>
  </si>
  <si>
    <t>Company Group&gt;Asset Information&gt;Asset Type&gt;Vehicle&gt;Digger, Company Group&gt;Asset Information&gt;Powertrain and Fuel Type&gt;Electric or Plug-In Hybrid&gt;Battery Electric Vehicle, Company Group&gt;Excavator/Tradestaff, Company Group&gt;Machines</t>
  </si>
  <si>
    <t>Battery Electric Vehicle, Digger, Excavator/Tradestaff, Machines</t>
  </si>
  <si>
    <t>Archie</t>
  </si>
  <si>
    <t>Abellana</t>
  </si>
  <si>
    <t>archie.abellana</t>
  </si>
  <si>
    <t>Gillingham Road</t>
  </si>
  <si>
    <t>Gillingham Road: 75 Gillingham Road, Te Kamo, Whangārei 0112, New Zealand</t>
  </si>
  <si>
    <t>G9RHXM0XNPXP</t>
  </si>
  <si>
    <t>Off</t>
  </si>
  <si>
    <t>13.5T Hitachi ZX135USLC-3 2012</t>
  </si>
  <si>
    <t>1141</t>
  </si>
  <si>
    <t>b2C7</t>
  </si>
  <si>
    <t>122</t>
  </si>
  <si>
    <t>b164</t>
  </si>
  <si>
    <t>Kaitaia Wastewater</t>
  </si>
  <si>
    <t>Kaitaia Wastewater: 10 Puckey Avenue, Kaitaia 0410, New Zealand</t>
  </si>
  <si>
    <t>G9071KVMB37P</t>
  </si>
  <si>
    <t>?????????????????</t>
  </si>
  <si>
    <t>5.5T Hitachi ZX55U-5 2014</t>
  </si>
  <si>
    <t>123</t>
  </si>
  <si>
    <t>b16A</t>
  </si>
  <si>
    <t>G9F8JM3179FZ</t>
  </si>
  <si>
    <t>1.7T Hitachi ZX17U-2 2014</t>
  </si>
  <si>
    <t>124</t>
  </si>
  <si>
    <t>b166</t>
  </si>
  <si>
    <t>Digger, Diesel, Excavator/Tradestaff, Machines, Trade Staff</t>
  </si>
  <si>
    <t>Company Group&gt;Asset Information&gt;Asset Type&gt;Vehicle&gt;Digger, Company Group&gt;Asset Information&gt;Powertrain and Fuel Type&gt;Internal Combustion Engine&gt;Diesel, Company Group&gt;Excavator/Tradestaff, Company Group&gt;Machines, Company Group&gt;Trade Staff</t>
  </si>
  <si>
    <t>Diesel, Digger, Excavator/Tradestaff, Machines, Trade Staff</t>
  </si>
  <si>
    <t>Morningside</t>
  </si>
  <si>
    <t>Morningside: 65 Morningside Rd, Northland Region 0110, New Zealand</t>
  </si>
  <si>
    <t>G9EKK0KRFU3Y</t>
  </si>
  <si>
    <t>jjjjjjjjjjjjjjjjj</t>
  </si>
  <si>
    <t>23.5T Hyundai R235 LCR-9 2014</t>
  </si>
  <si>
    <t>128</t>
  </si>
  <si>
    <t>b170</t>
  </si>
  <si>
    <t>G9USRCKV6BVV</t>
  </si>
  <si>
    <t>23.5T Hyundai R235LCR-9 2016</t>
  </si>
  <si>
    <t>129</t>
  </si>
  <si>
    <t>b160</t>
  </si>
  <si>
    <t>Kaitaia Wastewater: 1 Bonnetts Road, Kaitaia 0410, New Zealand</t>
  </si>
  <si>
    <t>G940DTZJ0XM1</t>
  </si>
  <si>
    <t>1.7T Hyundai R17z-19A 2017</t>
  </si>
  <si>
    <t>130</t>
  </si>
  <si>
    <t>b16E</t>
  </si>
  <si>
    <t>Ngawha,Ngawha</t>
  </si>
  <si>
    <t>Ngawha: 73B Bannister Road, Ngawha Springs 0472, New Zealand</t>
  </si>
  <si>
    <t>G9K3YS8BXU3J</t>
  </si>
  <si>
    <t>1304</t>
  </si>
  <si>
    <t>b2C8</t>
  </si>
  <si>
    <t>Pump, Pump/Trade Staff, Trade Staff</t>
  </si>
  <si>
    <t>Company Group&gt;Asset Information&gt;Asset Type&gt;Vehicle&gt;Pump, Company Group&gt;Pump/Trade Staff, Company Group&gt;Trade Staff</t>
  </si>
  <si>
    <t>Pump - Vacuum Prime Pumpset BA100K</t>
  </si>
  <si>
    <t>132</t>
  </si>
  <si>
    <t>b178</t>
  </si>
  <si>
    <t>Kymani</t>
  </si>
  <si>
    <t>Paikea</t>
  </si>
  <si>
    <t>kymani.paikea</t>
  </si>
  <si>
    <t>Ruakaka Solar Farm Site 2</t>
  </si>
  <si>
    <t>Ruakaka Solar Farm Site 2: 34 Mccathie Road, Ruakākā 0171, New Zealand</t>
  </si>
  <si>
    <t>G98ZPSY1BD3K</t>
  </si>
  <si>
    <t>8T Hyundai R80CR-9 2018</t>
  </si>
  <si>
    <t>133</t>
  </si>
  <si>
    <t>b17B</t>
  </si>
  <si>
    <t>Kaitaia Wastewater: 4 Bonnetts Road, Kaitaia 0410, New Zealand</t>
  </si>
  <si>
    <t>G9JN6AVZ9WNA</t>
  </si>
  <si>
    <t>22.5T Hitachi ZX225 USLC-5 2018</t>
  </si>
  <si>
    <t>134</t>
  </si>
  <si>
    <t>b179</t>
  </si>
  <si>
    <t>Kaikohe Work Area</t>
  </si>
  <si>
    <t>Kaikohe Work Area: 39 Bisset Road, Kaikohe 0405, New Zealand</t>
  </si>
  <si>
    <t>G9AXAZ5WJSNC</t>
  </si>
  <si>
    <t>14.5T Hyundai R145CRD-9 2018</t>
  </si>
  <si>
    <t>137</t>
  </si>
  <si>
    <t>b173</t>
  </si>
  <si>
    <t>Kaikohe</t>
  </si>
  <si>
    <t>Kaikohe: 91 Mangakahia Road, Kaikohe 0474, New Zealand</t>
  </si>
  <si>
    <t>G960M159TRJS</t>
  </si>
  <si>
    <t>6T Hitachi ZX65USB-5A 2018</t>
  </si>
  <si>
    <t>138</t>
  </si>
  <si>
    <t>b16B</t>
  </si>
  <si>
    <t>Morningside: 60 Morningside Road, Morningside, Whangārei 0110, New Zealand</t>
  </si>
  <si>
    <t>G9ZT0W7U7AX9</t>
  </si>
  <si>
    <t>13.5T Hitachi ZX135US-5B 2019</t>
  </si>
  <si>
    <t>139</t>
  </si>
  <si>
    <t>b17A</t>
  </si>
  <si>
    <t>Kaitaia Wastewater: 5 Eden Terrace, Kaitaia 0410, New Zealand</t>
  </si>
  <si>
    <t>G9KESM7CCB7P</t>
  </si>
  <si>
    <t>13.5T Hitachi ZX135US-5B 2022</t>
  </si>
  <si>
    <t>140</t>
  </si>
  <si>
    <t>b165</t>
  </si>
  <si>
    <t>Channel Infrastructure: Timber Trail, Northland Region, New Zealand</t>
  </si>
  <si>
    <t>G95WT8P1KVE4</t>
  </si>
  <si>
    <t>2.6T Hitachi ZX26U-5A 2022</t>
  </si>
  <si>
    <t>141</t>
  </si>
  <si>
    <t>b175</t>
  </si>
  <si>
    <t>Paul</t>
  </si>
  <si>
    <t>Travers</t>
  </si>
  <si>
    <t>paul.travers</t>
  </si>
  <si>
    <t>Morningside: 80 Morningside Road, Morningside, Whangārei 0110, New Zealand</t>
  </si>
  <si>
    <t>G97JWZZS6MBT</t>
  </si>
  <si>
    <t>6T Hitachi ZX65USB-5A 2022</t>
  </si>
  <si>
    <t>142</t>
  </si>
  <si>
    <t>b167</t>
  </si>
  <si>
    <t>Jay</t>
  </si>
  <si>
    <t>Libarnes</t>
  </si>
  <si>
    <t>jay.libarnes</t>
  </si>
  <si>
    <t>G94CDT2RF5R3</t>
  </si>
  <si>
    <t>143</t>
  </si>
  <si>
    <t>b15F</t>
  </si>
  <si>
    <t>Kaikohe Work Area: 29 Wihongi Street, Kaikohe 0405, New Zealand</t>
  </si>
  <si>
    <t>G97CJZK7PW0N</t>
  </si>
  <si>
    <t>144</t>
  </si>
  <si>
    <t>b172</t>
  </si>
  <si>
    <t>Company Group&gt;Asset Information&gt;Asset Type&gt;Equipment&gt;Digger, Company Group&gt;Excavator/Tradestaff, Company Group&gt;Machines, Company Group&gt;Trade Staff</t>
  </si>
  <si>
    <t>United Civil Head Office</t>
  </si>
  <si>
    <t>United Civil Head Office: 19B Rewa Rewa Road, Raumanga, Whangārei 0110, New Zealand</t>
  </si>
  <si>
    <t>Office Zone</t>
  </si>
  <si>
    <t>37</t>
  </si>
  <si>
    <t>27</t>
  </si>
  <si>
    <t>G9CH5398MV5N</t>
  </si>
  <si>
    <t>14.5T Hyundai R145CRD-9 2012</t>
  </si>
  <si>
    <t>Device is not downloading data</t>
  </si>
  <si>
    <t>146</t>
  </si>
  <si>
    <t>b107</t>
  </si>
  <si>
    <t>Electric Vehicles, Battery Electric Vehicle, Fuel Cell Electric Vehicle, Manually Classified Powertrain, Excavator/Tradestaff, Machines</t>
  </si>
  <si>
    <t>Company Group&gt;Asset Information&gt;Asset Type&gt;Vehicle&gt;Electric Vehicles, Company Group&gt;Asset Information&gt;Powertrain and Fuel Type&gt;Electric or Plug-In Hybrid&gt;Battery Electric Vehicle, Company Group&gt;Asset Information&gt;Powertrain and Fuel Type&gt;Fuel Cell Electric Vehicle, Company Group&gt;Asset Information&gt;Powertrain and Fuel Type&gt;Manually Classified Powertrain, Company Group&gt;Excavator/Tradestaff, Company Group&gt;Machines</t>
  </si>
  <si>
    <t>Battery Electric Vehicle, Electric Vehicles, Excavator/Tradestaff, Fuel Cell Electric Vehicle, Machines, Manually Classified Powertrain</t>
  </si>
  <si>
    <t>Channel Infrastructure,Channel Infrastructure,Asset Battery Drain</t>
  </si>
  <si>
    <t>Channel Infrastructure: 839 Port Marsden Highway, Marsden Point 0171, New Zealand</t>
  </si>
  <si>
    <t>55</t>
  </si>
  <si>
    <t>G918211C3B1E</t>
  </si>
  <si>
    <t>Etrucks EV Digger</t>
  </si>
  <si>
    <t>200</t>
  </si>
  <si>
    <t>b16C</t>
  </si>
  <si>
    <t>Loader, Loader/Trade Staff, Machines</t>
  </si>
  <si>
    <t>Company Group&gt;Asset Information&gt;Asset Type&gt;Vehicle&gt;Loader, Company Group&gt;Loader/Trade Staff, Company Group&gt;Machines</t>
  </si>
  <si>
    <t>Moses</t>
  </si>
  <si>
    <t>Tito</t>
  </si>
  <si>
    <t>moses.tito</t>
  </si>
  <si>
    <t>Kaikohe: 13 Carey Road, Kaikohe 0474, New Zealand</t>
  </si>
  <si>
    <t>G9XMUXRXUHFA</t>
  </si>
  <si>
    <t>DNF822</t>
  </si>
  <si>
    <t>`````````````````</t>
  </si>
  <si>
    <t>14T Hyundai HL757-7 2006</t>
  </si>
  <si>
    <t>202</t>
  </si>
  <si>
    <t>b169</t>
  </si>
  <si>
    <t>Loader, Loader/Trade Staff, Machines, Trade Staff</t>
  </si>
  <si>
    <t>Company Group&gt;Asset Information&gt;Asset Type&gt;Vehicle&gt;Loader, Company Group&gt;Loader/Trade Staff, Company Group&gt;Machines, Company Group&gt;Trade Staff</t>
  </si>
  <si>
    <t>Izak</t>
  </si>
  <si>
    <t>Proctor</t>
  </si>
  <si>
    <t>izak.proctor</t>
  </si>
  <si>
    <t>Gillingham Road,Gillingham Road</t>
  </si>
  <si>
    <t>Gillingham Road: 62A Gillingham Road, Te Kamo, Whangārei 0112, New Zealand</t>
  </si>
  <si>
    <t>G9H18PAP17UE</t>
  </si>
  <si>
    <t>JJL907</t>
  </si>
  <si>
    <t>5T Kubota R520S 2014</t>
  </si>
  <si>
    <t>203</t>
  </si>
  <si>
    <t>b168</t>
  </si>
  <si>
    <t>G9N7PTSZASUX</t>
  </si>
  <si>
    <t>B9BKT</t>
  </si>
  <si>
    <t>3T Kubota R420S 2014</t>
  </si>
  <si>
    <t>204</t>
  </si>
  <si>
    <t>b307</t>
  </si>
  <si>
    <t>Loader, Loader/Trade Staff</t>
  </si>
  <si>
    <t>Company Group&gt;Asset Information&gt;Asset Type&gt;Vehicle&gt;Loader, Company Group&gt;Loader/Trade Staff</t>
  </si>
  <si>
    <t>18T Landex XCMG LW500K 2016</t>
  </si>
  <si>
    <t>206</t>
  </si>
  <si>
    <t>b162</t>
  </si>
  <si>
    <t>Loader, Machines, Telehandler/Trade Staff, Trade Staff</t>
  </si>
  <si>
    <t>Company Group&gt;Asset Information&gt;Asset Type&gt;Vehicle&gt;Loader, Company Group&gt;Machines, Company Group&gt;Telehandler/Trade Staff, Company Group&gt;Trade Staff</t>
  </si>
  <si>
    <t>Kaikohe: 8 Lindvart Street, Kaikohe 0474, New Zealand</t>
  </si>
  <si>
    <t>G9PMT34EV9EP</t>
  </si>
  <si>
    <t>QPW244</t>
  </si>
  <si>
    <t>7T Manitou MLT-X732</t>
  </si>
  <si>
    <t>207</t>
  </si>
  <si>
    <t>b16D</t>
  </si>
  <si>
    <t>Felix</t>
  </si>
  <si>
    <t>Bongalos</t>
  </si>
  <si>
    <t>felix.bongalos</t>
  </si>
  <si>
    <t>Channel Infrastructure: 12 Ralph Trimmer Drive, Marsden Point 0171, New Zealand</t>
  </si>
  <si>
    <t>G9VD67CSFR72</t>
  </si>
  <si>
    <t>QEG429</t>
  </si>
  <si>
    <t>5T Manitou MT625</t>
  </si>
  <si>
    <t>208</t>
  </si>
  <si>
    <t>b163</t>
  </si>
  <si>
    <t>G9AE0M2U2XW4</t>
  </si>
  <si>
    <t>QEG430</t>
  </si>
  <si>
    <t>209</t>
  </si>
  <si>
    <t>b177</t>
  </si>
  <si>
    <t>Kaitaia Wastewater: 19 Puckey Avenue, Kaitaia 0410, New Zealand</t>
  </si>
  <si>
    <t>G9RS70FNPW7W</t>
  </si>
  <si>
    <t>QEG431</t>
  </si>
  <si>
    <t>210</t>
  </si>
  <si>
    <t>b171</t>
  </si>
  <si>
    <t>Loader, Diesel, Loader/Trade Staff, Machines, Trade Staff</t>
  </si>
  <si>
    <t>Company Group&gt;Asset Information&gt;Asset Type&gt;Vehicle&gt;Loader, Company Group&gt;Asset Information&gt;Powertrain and Fuel Type&gt;Internal Combustion Engine&gt;Diesel, Company Group&gt;Loader/Trade Staff, Company Group&gt;Machines, Company Group&gt;Trade Staff</t>
  </si>
  <si>
    <t>Diesel, Loader, Loader/Trade Staff, Machines, Trade Staff</t>
  </si>
  <si>
    <t>G9S1YZ20ERNN</t>
  </si>
  <si>
    <t>Cat 299D3 Compact Track 2022</t>
  </si>
  <si>
    <t>3414</t>
  </si>
  <si>
    <t>b18F</t>
  </si>
  <si>
    <t>Heavy Diesel Vehicles, HDV/Trade Staff, Machines, Trade Staff</t>
  </si>
  <si>
    <t>Company Group&gt;Asset Information&gt;Asset Type&gt;Vehicle&gt;Heavy Diesel Vehicles, Company Group&gt;HDV/Trade Staff, Company Group&gt;Machines, Company Group&gt;Trade Staff</t>
  </si>
  <si>
    <t>HDV/Trade Staff, Heavy Diesel Vehicles, Machines, Trade Staff</t>
  </si>
  <si>
    <t>Ruakaka Solar Farm Site 2: 41 Mccathie Road, Ruakākā 0171, New Zealand</t>
  </si>
  <si>
    <t>G9R2VNN6AEF6</t>
  </si>
  <si>
    <t>Mitsubishi Fuso Fighter FK200K6 2007</t>
  </si>
  <si>
    <t>3418</t>
  </si>
  <si>
    <t>b190</t>
  </si>
  <si>
    <t>Roller, Machines, Roller/Trade Staff, Trade Staff</t>
  </si>
  <si>
    <t>Company Group&gt;Asset Information&gt;Asset Type&gt;Equipment&gt;Roller, Company Group&gt;Machines, Company Group&gt;Roller/Trade Staff, Company Group&gt;Trade Staff</t>
  </si>
  <si>
    <t>Machines, Roller, Roller/Trade Staff, Trade Staff</t>
  </si>
  <si>
    <t>United Civil Head Office,United Civil Head Office</t>
  </si>
  <si>
    <t>United Civil Head Office: 19 Rewa Rewa Road, Raumanga, Whangārei 0110, New Zealand</t>
  </si>
  <si>
    <t>G9SV4TP3K9RH</t>
  </si>
  <si>
    <t>10T Sakai R2S 2000 Static 3 Pin</t>
  </si>
  <si>
    <t>3420</t>
  </si>
  <si>
    <t>b18D</t>
  </si>
  <si>
    <t>6970 Mangakahia Road, Kaikohe 0474, New Zealand</t>
  </si>
  <si>
    <t>G9WW8A64TCM9</t>
  </si>
  <si>
    <t>EKW475</t>
  </si>
  <si>
    <t>10T Sakai R2S 1990 Static 3 Pin</t>
  </si>
  <si>
    <t>3421</t>
  </si>
  <si>
    <t>b194</t>
  </si>
  <si>
    <t>Grader, Grader/Trade Staff, Machines, Trade Staff</t>
  </si>
  <si>
    <t>Company Group&gt;Asset Information&gt;Asset Type&gt;Vehicle&gt;Grader, Company Group&gt;Grader/Trade Staff, Company Group&gt;Machines, Company Group&gt;Trade Staff</t>
  </si>
  <si>
    <t>Ruakaka Solar Farm Site 2,Channel Infrastructure</t>
  </si>
  <si>
    <t>Channel Infrastructure: 1 Ralph Trimmer Drive, Marsden Point 0171, New Zealand</t>
  </si>
  <si>
    <t>G90U7JYD5F1E</t>
  </si>
  <si>
    <t>EKW476</t>
  </si>
  <si>
    <t>Caterpillar 12H 2003</t>
  </si>
  <si>
    <t>3422</t>
  </si>
  <si>
    <t>b191</t>
  </si>
  <si>
    <t>Philip</t>
  </si>
  <si>
    <t>Bryers</t>
  </si>
  <si>
    <t>philip.bryers@unitedcivil.co.nz</t>
  </si>
  <si>
    <t>Mangawhai,Mangawhai</t>
  </si>
  <si>
    <t>Mangawhai: 1620 Mangawhai Road, Mangawhai 0975, New Zealand</t>
  </si>
  <si>
    <t>G9PUXWWAS21S</t>
  </si>
  <si>
    <t>EJG668</t>
  </si>
  <si>
    <t>Komatsu GD655-3A 2008</t>
  </si>
  <si>
    <t>445</t>
  </si>
  <si>
    <t>bFC</t>
  </si>
  <si>
    <t>Light Diesel Vehicles, LDV/Trade Staff, Trade Staff</t>
  </si>
  <si>
    <t>Company Group&gt;Asset Information&gt;Asset Type&gt;Vehicle&gt;Light Diesel Vehicles, Company Group&gt;LDV/Trade Staff, Company Group&gt;Trade Staff</t>
  </si>
  <si>
    <t>LDV/Trade Staff, Light Diesel Vehicles, Trade Staff</t>
  </si>
  <si>
    <t>G90B211C4474</t>
  </si>
  <si>
    <t>FDT602</t>
  </si>
  <si>
    <t>JTFST22P500005126</t>
  </si>
  <si>
    <t>Toyota Hiace 2009</t>
  </si>
  <si>
    <t>Toyota</t>
  </si>
  <si>
    <t>Hiace</t>
  </si>
  <si>
    <t>VehicleType: MPV;MainVehicleType: Goods Carrier;SecondaryVehicleType: LCV;Manufacturer: Toyota;Company: Toyota Motor Corp;VIN Error: None;</t>
  </si>
  <si>
    <t>448</t>
  </si>
  <si>
    <t>bCE</t>
  </si>
  <si>
    <t>Light Diesel Vehicles, Diesel, LDV/Trade Staff, Trade Staff</t>
  </si>
  <si>
    <t>Company Group&gt;Asset Information&gt;Asset Type&gt;Vehicle&gt;Light Diesel Vehicles, Company Group&gt;Asset Information&gt;Powertrain and Fuel Type&gt;Internal Combustion Engine&gt;Diesel, Company Group&gt;LDV/Trade Staff, Company Group&gt;Trade Staff</t>
  </si>
  <si>
    <t>Diesel, LDV/Trade Staff, Light Diesel Vehicles, Trade Staff</t>
  </si>
  <si>
    <t>Daniel</t>
  </si>
  <si>
    <t>Van Houten</t>
  </si>
  <si>
    <t>daniel.vanhouten</t>
  </si>
  <si>
    <t>G9E7F2S8N1US</t>
  </si>
  <si>
    <t>GUR891</t>
  </si>
  <si>
    <t>JTFST22P100016575</t>
  </si>
  <si>
    <t>Toyota Hiace 2013</t>
  </si>
  <si>
    <t>463</t>
  </si>
  <si>
    <t>b12A</t>
  </si>
  <si>
    <t>Robert</t>
  </si>
  <si>
    <t>Burns</t>
  </si>
  <si>
    <t>robert.burns</t>
  </si>
  <si>
    <t>45</t>
  </si>
  <si>
    <t>22</t>
  </si>
  <si>
    <t>G9C0211BE21A</t>
  </si>
  <si>
    <t>FQC642</t>
  </si>
  <si>
    <t>MNAUSFE90AW890258</t>
  </si>
  <si>
    <t>Ford Ranger 2010 4x2 XLT D/C W/S</t>
  </si>
  <si>
    <t>Ford</t>
  </si>
  <si>
    <t>Ranger</t>
  </si>
  <si>
    <t>2010</t>
  </si>
  <si>
    <t>VehicleType: Truck - Pickup;MainVehicleType: Dual-Purpose Vehicle;SecondaryVehicleType: Light Duty Pickup;Manufacturer: Ford;Company: Auto Alliance (Thailand) Co Ltd;Country: USA;Plant: Wayne: Wayne, Michigan;VIN Error: None;</t>
  </si>
  <si>
    <t>465</t>
  </si>
  <si>
    <t>b101</t>
  </si>
  <si>
    <t>Leroy</t>
  </si>
  <si>
    <t>Anderson</t>
  </si>
  <si>
    <t>leroy.anderson</t>
  </si>
  <si>
    <t>G9B3211A6EE4</t>
  </si>
  <si>
    <t>JBB745</t>
  </si>
  <si>
    <t>MNAUMFF50FW426955</t>
  </si>
  <si>
    <t>Ford Ranger (2015)</t>
  </si>
  <si>
    <t>2015</t>
  </si>
  <si>
    <t>VehicleType: Truck - Pickup;MainVehicleType: Dual-Purpose Vehicle;SecondaryVehicleType: Light Duty Pickup;Manufacturer: Ford;Company: Auto Alliance (Thailand) Co Ltd;VIN Error: None;</t>
  </si>
  <si>
    <t>470</t>
  </si>
  <si>
    <t>b17C</t>
  </si>
  <si>
    <t>118 Western Hills Drive, Kensington, Whangārei 0112, New Zealand</t>
  </si>
  <si>
    <t>20</t>
  </si>
  <si>
    <t>G9YNXYF3TYU3</t>
  </si>
  <si>
    <t>FUB380</t>
  </si>
  <si>
    <t>MNAUSFE90AW918854</t>
  </si>
  <si>
    <t>Ford Ranger 2011 4x2 XLT D/C W/S</t>
  </si>
  <si>
    <t>471</t>
  </si>
  <si>
    <t>b113</t>
  </si>
  <si>
    <t>Light Diesel Vehicles, LDV/PE, PE</t>
  </si>
  <si>
    <t>Company Group&gt;Asset Information&gt;Asset Type&gt;Vehicle&gt;Light Diesel Vehicles, Company Group&gt;LDV/PE, Company Group&gt;PE</t>
  </si>
  <si>
    <t>LDV/PE, Light Diesel Vehicles, PE</t>
  </si>
  <si>
    <t>Munnelly</t>
  </si>
  <si>
    <t>john.munnelly@unitedcivil.co.nz</t>
  </si>
  <si>
    <t>104 Ocean Road, Whangamatā 3620, New Zealand</t>
  </si>
  <si>
    <t>59</t>
  </si>
  <si>
    <t>G92E211C5146</t>
  </si>
  <si>
    <t>FRM776</t>
  </si>
  <si>
    <t>MNAUSFE90AW889714</t>
  </si>
  <si>
    <t>Ford Ranger (2010)</t>
  </si>
  <si>
    <t>476</t>
  </si>
  <si>
    <t>b10D</t>
  </si>
  <si>
    <t>G971211C5119</t>
  </si>
  <si>
    <t>GBN844</t>
  </si>
  <si>
    <t>Toyota Hilux 2011 4x2 D/C W/S</t>
  </si>
  <si>
    <t>486</t>
  </si>
  <si>
    <t>b17D</t>
  </si>
  <si>
    <t>Anthony</t>
  </si>
  <si>
    <t>Edwards</t>
  </si>
  <si>
    <t>anthony.edwards</t>
  </si>
  <si>
    <t>14A Black Wattle Lane, Raumanga, Whangārei 0110, New Zealand</t>
  </si>
  <si>
    <t>G937NNNRPH73</t>
  </si>
  <si>
    <t>LER932</t>
  </si>
  <si>
    <t>MPBUMFF50HX139869</t>
  </si>
  <si>
    <t>Ford Ranger 2018 4x2 XLT D/C W/S</t>
  </si>
  <si>
    <t>2017</t>
  </si>
  <si>
    <t>VehicleType: Truck - Pickup;MainVehicleType: Dual-Purpose Vehicle;SecondaryVehicleType: Light Duty Pickup;Manufacturer: Ford;Company: Ford Motor Company (Thailand) Limited;VIN Error: None;</t>
  </si>
  <si>
    <t>487</t>
  </si>
  <si>
    <t>b108</t>
  </si>
  <si>
    <t>55 Ngahuhu Road, Pakaraka 0472, New Zealand</t>
  </si>
  <si>
    <t>G906211C4479</t>
  </si>
  <si>
    <t>LER933</t>
  </si>
  <si>
    <t>MPBUMFF50HX142760</t>
  </si>
  <si>
    <t>Ford Ranger (2017)</t>
  </si>
  <si>
    <t>488</t>
  </si>
  <si>
    <t>bCC</t>
  </si>
  <si>
    <t>249 Kiripaka Road, Northland 0112, New Zealand</t>
  </si>
  <si>
    <t>G9Z59VY94T2B</t>
  </si>
  <si>
    <t>LER937</t>
  </si>
  <si>
    <t>MPBUMFF50HX139870</t>
  </si>
  <si>
    <t>489</t>
  </si>
  <si>
    <t>b17E</t>
  </si>
  <si>
    <t>Mike</t>
  </si>
  <si>
    <t>Walters</t>
  </si>
  <si>
    <t>mike.walters</t>
  </si>
  <si>
    <t>29C Rifle Range Road, Taupō 3330, New Zealand</t>
  </si>
  <si>
    <t>G9PAT79T3CRK</t>
  </si>
  <si>
    <t>LER940</t>
  </si>
  <si>
    <t>MPBUMFF50HX135602</t>
  </si>
  <si>
    <t>Ford Ranger 2018 4x4 XLT D/C W/S</t>
  </si>
  <si>
    <t>490</t>
  </si>
  <si>
    <t>bC9</t>
  </si>
  <si>
    <t>Light Diesel Vehicles, Diesel, LDV/Other Management, Other Management</t>
  </si>
  <si>
    <t>Company Group&gt;Asset Information&gt;Asset Type&gt;Vehicle&gt;Light Diesel Vehicles, Company Group&gt;Asset Information&gt;Powertrain and Fuel Type&gt;Internal Combustion Engine&gt;Diesel, Company Group&gt;LDV/Other Management, Company Group&gt;Other Management</t>
  </si>
  <si>
    <t>Diesel, LDV/Other Management, Light Diesel Vehicles, Other Management</t>
  </si>
  <si>
    <t>Harris</t>
  </si>
  <si>
    <t>Crowe</t>
  </si>
  <si>
    <t>harris.crowe@unitedcivil.co.nz</t>
  </si>
  <si>
    <t>71 Whangaumu Street, Tutukaka 0140, New Zealand</t>
  </si>
  <si>
    <t>G9D6211A6C83</t>
  </si>
  <si>
    <t>LER936</t>
  </si>
  <si>
    <t>MPBUMFF50JX151016</t>
  </si>
  <si>
    <t>2018</t>
  </si>
  <si>
    <t>491</t>
  </si>
  <si>
    <t>b105</t>
  </si>
  <si>
    <t>Jake</t>
  </si>
  <si>
    <t>Moretti</t>
  </si>
  <si>
    <t>jake.moretti</t>
  </si>
  <si>
    <t>3 Isola Street, Raumanga, Whangārei 0110, New Zealand</t>
  </si>
  <si>
    <t>G9AF211BE372</t>
  </si>
  <si>
    <t>LGJ618</t>
  </si>
  <si>
    <t>492</t>
  </si>
  <si>
    <t>b11E</t>
  </si>
  <si>
    <t>318 Cemetery Road, Maunu, Whangārei 0179, New Zealand</t>
  </si>
  <si>
    <t>G914211C446B</t>
  </si>
  <si>
    <t>LKZ964</t>
  </si>
  <si>
    <t>MPBUMFF50JX153102</t>
  </si>
  <si>
    <t>Ford Ranger (2018)</t>
  </si>
  <si>
    <t>493</t>
  </si>
  <si>
    <t>bD9</t>
  </si>
  <si>
    <t>19 Dakota Place, Raumanga, Whangārei 0110, New Zealand</t>
  </si>
  <si>
    <t>G9UT9MD7X25N</t>
  </si>
  <si>
    <t>LJJ940</t>
  </si>
  <si>
    <t>MPBUMFF50JX155996</t>
  </si>
  <si>
    <t>494</t>
  </si>
  <si>
    <t>b102</t>
  </si>
  <si>
    <t>James</t>
  </si>
  <si>
    <t>Gardiner</t>
  </si>
  <si>
    <t>james.gardiner</t>
  </si>
  <si>
    <t>21</t>
  </si>
  <si>
    <t>G9NW0SB5JJT4</t>
  </si>
  <si>
    <t>GSN851</t>
  </si>
  <si>
    <t>MNAUMFF50DW166402</t>
  </si>
  <si>
    <t>Ford Ranger (2013)</t>
  </si>
  <si>
    <t>2013</t>
  </si>
  <si>
    <t>495</t>
  </si>
  <si>
    <t>bD1</t>
  </si>
  <si>
    <t>Ronel</t>
  </si>
  <si>
    <t>Lineses</t>
  </si>
  <si>
    <t>ronel.lineses</t>
  </si>
  <si>
    <t>241 Jobe Road, Maungakaramea 0178, New Zealand</t>
  </si>
  <si>
    <t>G9HM80J63H4D</t>
  </si>
  <si>
    <t>GTH864</t>
  </si>
  <si>
    <t>MM0UP0YF100136059</t>
  </si>
  <si>
    <t>Mazda BT-50 2013 4x2 GSX D/C W/S</t>
  </si>
  <si>
    <t>Mazda</t>
  </si>
  <si>
    <t>BT-50</t>
  </si>
  <si>
    <t>VehicleType: Truck - Pickup;Manufacturer: Mazda;Company: Auto Alliance (Thailand) Co Ltd;VIN Error: None;</t>
  </si>
  <si>
    <t>496</t>
  </si>
  <si>
    <t>bD6</t>
  </si>
  <si>
    <t>Jamie</t>
  </si>
  <si>
    <t>Wyeth</t>
  </si>
  <si>
    <t>jamie.wyeth</t>
  </si>
  <si>
    <t>G9WVND1NZR5U</t>
  </si>
  <si>
    <t>JYY52</t>
  </si>
  <si>
    <t>MNAUM2F50FW416363</t>
  </si>
  <si>
    <t>Ford Ranger 2015 4x4 Cabplus F/D</t>
  </si>
  <si>
    <t>499</t>
  </si>
  <si>
    <t>b187</t>
  </si>
  <si>
    <t>Guelas</t>
  </si>
  <si>
    <t>mark.guelas</t>
  </si>
  <si>
    <t>G9ZR500T12RW</t>
  </si>
  <si>
    <t>LNW704</t>
  </si>
  <si>
    <t>MPBUMFF50JX172412</t>
  </si>
  <si>
    <t>Ford Ranger 2018 4x4 D/C W/S</t>
  </si>
  <si>
    <t>500</t>
  </si>
  <si>
    <t>b104</t>
  </si>
  <si>
    <t>G96E211C5005</t>
  </si>
  <si>
    <t>GNA826</t>
  </si>
  <si>
    <t>MM0UP0YF100131547</t>
  </si>
  <si>
    <t>Mazda BT-50 2012 4x2 GLX Cabplus W/S</t>
  </si>
  <si>
    <t>501</t>
  </si>
  <si>
    <t>b110</t>
  </si>
  <si>
    <t>2915 State Highway 12, Waimā 0473, New Zealand</t>
  </si>
  <si>
    <t>G9FR3C2VRKST</t>
  </si>
  <si>
    <t>GPR852</t>
  </si>
  <si>
    <t>MM0UP0YF100125065</t>
  </si>
  <si>
    <t>Mazda BT-50 2012 4x2 GLX D/C W/S</t>
  </si>
  <si>
    <t>502</t>
  </si>
  <si>
    <t>b129</t>
  </si>
  <si>
    <t>Light Diesel Vehicles, Diesel, LDV/Supervisor, Supervisor</t>
  </si>
  <si>
    <t>Company Group&gt;Asset Information&gt;Asset Type&gt;Vehicle&gt;Light Diesel Vehicles, Company Group&gt;Asset Information&gt;Powertrain and Fuel Type&gt;Internal Combustion Engine&gt;Diesel, Company Group&gt;LDV/Supervisor, Company Group&gt;Supervisor</t>
  </si>
  <si>
    <t>Diesel, LDV/Supervisor, Light Diesel Vehicles, Supervisor</t>
  </si>
  <si>
    <t>83 Hatea Drive, Regent, Whangārei 0112, New Zealand</t>
  </si>
  <si>
    <t>24</t>
  </si>
  <si>
    <t>G96RNKEN5TRF</t>
  </si>
  <si>
    <t>MBF560</t>
  </si>
  <si>
    <t>MPBUMFF50JX204764</t>
  </si>
  <si>
    <t>Ford Ranger 2019 4x2 XLT D/C W/S</t>
  </si>
  <si>
    <t>503</t>
  </si>
  <si>
    <t>b180</t>
  </si>
  <si>
    <t>Jaco</t>
  </si>
  <si>
    <t>Van Dijk</t>
  </si>
  <si>
    <t>jaco.vandijk</t>
  </si>
  <si>
    <t>107 Beverley Terrace, Whangamatā 3620, New Zealand</t>
  </si>
  <si>
    <t>G9MEUJNUNVNF</t>
  </si>
  <si>
    <t>HHS395</t>
  </si>
  <si>
    <t>MNAUMFF50EW250916</t>
  </si>
  <si>
    <t>Ford Ranger 2014 4x2 XL D/C W/S</t>
  </si>
  <si>
    <t>2014</t>
  </si>
  <si>
    <t>505</t>
  </si>
  <si>
    <t>b10F</t>
  </si>
  <si>
    <t>1 Wessex Street, Tikipunga, Whangārei 0112, New Zealand</t>
  </si>
  <si>
    <t>G9B5211A6EE2</t>
  </si>
  <si>
    <t>HQL909</t>
  </si>
  <si>
    <t>Toyota Hilux 2014 4x2 D/C W/S</t>
  </si>
  <si>
    <t>508</t>
  </si>
  <si>
    <t>b122</t>
  </si>
  <si>
    <t>Mahesh</t>
  </si>
  <si>
    <t>Prasad</t>
  </si>
  <si>
    <t>mahesh.prasad</t>
  </si>
  <si>
    <t>3 Provisional Drive, Te Kamo, Whangārei 0112, New Zealand</t>
  </si>
  <si>
    <t>G9BYHXDZYTJS</t>
  </si>
  <si>
    <t>JSC564</t>
  </si>
  <si>
    <t>MNAUMFF50GW545039</t>
  </si>
  <si>
    <t>Ford Ranger 2016 4x2 XL D/C W/S</t>
  </si>
  <si>
    <t>2016</t>
  </si>
  <si>
    <t>509</t>
  </si>
  <si>
    <t>b17F</t>
  </si>
  <si>
    <t>Light Diesel Vehicles, Diesel, LDV/PM, PM</t>
  </si>
  <si>
    <t>Company Group&gt;Asset Information&gt;Asset Type&gt;Vehicle&gt;Light Diesel Vehicles, Company Group&gt;Asset Information&gt;Powertrain and Fuel Type&gt;Internal Combustion Engine&gt;Diesel, Company Group&gt;LDV/PM, Company Group&gt;PM</t>
  </si>
  <si>
    <t>Diesel, LDV/PM, Light Diesel Vehicles, PM</t>
  </si>
  <si>
    <t>Colin</t>
  </si>
  <si>
    <t>Newbold</t>
  </si>
  <si>
    <t>colin.newbold@unitedcivil.co.nz</t>
  </si>
  <si>
    <t>3223 State Highway 2, Tutira 4181, New Zealand</t>
  </si>
  <si>
    <t>G9FU3TR603BC</t>
  </si>
  <si>
    <t>MTZ279</t>
  </si>
  <si>
    <t>MPBUMFF50KX264312</t>
  </si>
  <si>
    <t>Ford Ranger 2020 4x2 XLT D/C W/S</t>
  </si>
  <si>
    <t>2019</t>
  </si>
  <si>
    <t>510</t>
  </si>
  <si>
    <t>b184</t>
  </si>
  <si>
    <t>Light Diesel Vehicles, Diesel, LDV/PE, PE</t>
  </si>
  <si>
    <t>Company Group&gt;Asset Information&gt;Asset Type&gt;Vehicle&gt;Light Diesel Vehicles, Company Group&gt;Asset Information&gt;Powertrain and Fuel Type&gt;Internal Combustion Engine&gt;Diesel, Company Group&gt;LDV/PE, Company Group&gt;PE</t>
  </si>
  <si>
    <t>Diesel, LDV/PE, Light Diesel Vehicles, PE</t>
  </si>
  <si>
    <t>Thomas</t>
  </si>
  <si>
    <t>Blaza</t>
  </si>
  <si>
    <t>thomas.blaza@unitedcivil.co.nz</t>
  </si>
  <si>
    <t>220 Marsden Point Road, Ruakākā 0116, New Zealand</t>
  </si>
  <si>
    <t>G9H2KS9R6AKS</t>
  </si>
  <si>
    <t>MTZ278</t>
  </si>
  <si>
    <t>MPBUMFF50LX266963</t>
  </si>
  <si>
    <t>2020</t>
  </si>
  <si>
    <t>511</t>
  </si>
  <si>
    <t>b19E</t>
  </si>
  <si>
    <t>Damien</t>
  </si>
  <si>
    <t>damien.walters</t>
  </si>
  <si>
    <t>122 Raumanga Heights Drive, Raumanga, Whangārei 0110, New Zealand</t>
  </si>
  <si>
    <t>G93WYUWHSU8B</t>
  </si>
  <si>
    <t>KCU68</t>
  </si>
  <si>
    <t>MNAUMFF50GW582771</t>
  </si>
  <si>
    <t>512</t>
  </si>
  <si>
    <t>b186</t>
  </si>
  <si>
    <t>William (Billy)</t>
  </si>
  <si>
    <t>Gibson</t>
  </si>
  <si>
    <t>william.gibson</t>
  </si>
  <si>
    <t>183 Ngunguru Ford Road, Kiripaka 0173, New Zealand</t>
  </si>
  <si>
    <t>G98ZZCXYU1H0</t>
  </si>
  <si>
    <t>HYN614</t>
  </si>
  <si>
    <t>MNAUMFF50EW308528</t>
  </si>
  <si>
    <t>Ford Ranger 2015 4x2 XL D/C W/S</t>
  </si>
  <si>
    <t>513</t>
  </si>
  <si>
    <t>b18C</t>
  </si>
  <si>
    <t>Cameron</t>
  </si>
  <si>
    <t>Hinge</t>
  </si>
  <si>
    <t>cameron.hinge@unitedcivil.co.nz</t>
  </si>
  <si>
    <t>42 Great North Road, Te Kamo, Whangārei 0112, New Zealand</t>
  </si>
  <si>
    <t>G9TS3SP11T1D</t>
  </si>
  <si>
    <t>MWR962</t>
  </si>
  <si>
    <t>MPBUMFF50LX272016</t>
  </si>
  <si>
    <t>514</t>
  </si>
  <si>
    <t>bD8</t>
  </si>
  <si>
    <t>Luke</t>
  </si>
  <si>
    <t>Ryder</t>
  </si>
  <si>
    <t>luke.ryder</t>
  </si>
  <si>
    <t>629C Owhiwa Road, Parua Bay 0192, New Zealand</t>
  </si>
  <si>
    <t>G97VUAAMVVMW</t>
  </si>
  <si>
    <t>LFW259</t>
  </si>
  <si>
    <t>MM0UR0YG100819478</t>
  </si>
  <si>
    <t>Mazda BT-50 2018 4x2 GLX Cabplus F/D</t>
  </si>
  <si>
    <t>515</t>
  </si>
  <si>
    <t>b195</t>
  </si>
  <si>
    <t>Hemara</t>
  </si>
  <si>
    <t>daniel.hemara@unitedcivil.co.nz</t>
  </si>
  <si>
    <t>27 Kaitara Lane, Kaiwaka 0573, New Zealand</t>
  </si>
  <si>
    <t>G9WYSR3WK6D0</t>
  </si>
  <si>
    <t>NAJ997</t>
  </si>
  <si>
    <t>MPBUMFF50LX278476</t>
  </si>
  <si>
    <t>Ford Ranger 2020 4x4 XLT D/C W/S</t>
  </si>
  <si>
    <t>516</t>
  </si>
  <si>
    <t>bCB</t>
  </si>
  <si>
    <t>Light Petrol Vehicles, Gasoline or Petrol, LPV/PM, Other Management</t>
  </si>
  <si>
    <t>Company Group&gt;Asset Information&gt;Asset Type&gt;Vehicle&gt;Light Petrol Vehicles, Company Group&gt;Asset Information&gt;Powertrain and Fuel Type&gt;Internal Combustion Engine&gt;Gasoline or Petrol, Company Group&gt;LPV/PM, Company Group&gt;Other Management</t>
  </si>
  <si>
    <t>Gasoline or Petrol, Light Petrol Vehicles, LPV/PM, Other Management</t>
  </si>
  <si>
    <t>Zain</t>
  </si>
  <si>
    <t>Kader</t>
  </si>
  <si>
    <t>zain.kader@unitedcivil.co.nz</t>
  </si>
  <si>
    <t>14 Pataua Street, Pataua South 0192, New Zealand</t>
  </si>
  <si>
    <t>G952211A6C07</t>
  </si>
  <si>
    <t>NHQ894</t>
  </si>
  <si>
    <t>JTDBB3BE40J034224</t>
  </si>
  <si>
    <t>Toyota Corolla 2020 SX Hybrid</t>
  </si>
  <si>
    <t>Corolla (HEV)</t>
  </si>
  <si>
    <t>TrimLevel: ZWE211;VehicleType: Passenger Car;MainVehicleType: Passenger Vehicle;SecondaryVehicleType: Standard;Manufacturer: Toyota;Company: Toyota Motor Corporation;Engine: 1.8L L4 Gasoline (Hybrid), Port (2ZR-FXE, 1NM+1MM) 96 HP;VIN Error: None;</t>
  </si>
  <si>
    <t>517</t>
  </si>
  <si>
    <t>bE3</t>
  </si>
  <si>
    <t>Gerrie</t>
  </si>
  <si>
    <t>Van Der Linde</t>
  </si>
  <si>
    <t>gerrie.vanderlinde@unitedcivil.co.nz</t>
  </si>
  <si>
    <t>67 Monk Road, Mangapai 0178, New Zealand</t>
  </si>
  <si>
    <t>G920XKB3ZWES</t>
  </si>
  <si>
    <t>NNM799</t>
  </si>
  <si>
    <t>MPBUMFF60MX340967</t>
  </si>
  <si>
    <t>Ford Ranger 2021 4x2 XLT D/C W/S</t>
  </si>
  <si>
    <t>2021</t>
  </si>
  <si>
    <t>518</t>
  </si>
  <si>
    <t>bDA</t>
  </si>
  <si>
    <t>Peter</t>
  </si>
  <si>
    <t>Hughes</t>
  </si>
  <si>
    <t>peter.hughes@unitedcivil.co.nz</t>
  </si>
  <si>
    <t>45A Landowners Lane, Whangarei 0173, New Zealand</t>
  </si>
  <si>
    <t>G96TN5TW4ZSF</t>
  </si>
  <si>
    <t>NQS995</t>
  </si>
  <si>
    <t>MNAUMFF60MW168810</t>
  </si>
  <si>
    <t>519</t>
  </si>
  <si>
    <t>bB2</t>
  </si>
  <si>
    <t>Wayne</t>
  </si>
  <si>
    <t>Pepperell</t>
  </si>
  <si>
    <t>wayne.pepperell@unitedcivil.co.nz</t>
  </si>
  <si>
    <t>24 Angus Lane, Te Kamo, Whangārei 0112, New Zealand</t>
  </si>
  <si>
    <t>G9SN0M1FNC3B</t>
  </si>
  <si>
    <t>NQS996</t>
  </si>
  <si>
    <t>MNAUMFF60MW168796</t>
  </si>
  <si>
    <t>520</t>
  </si>
  <si>
    <t>b1C3</t>
  </si>
  <si>
    <t>Light Diesel Vehicles, LDV/Other Management, Other Management</t>
  </si>
  <si>
    <t>Company Group&gt;Asset Information&gt;Asset Type&gt;Vehicle&gt;Light Diesel Vehicles, Company Group&gt;LDV/Other Management, Company Group&gt;Other Management</t>
  </si>
  <si>
    <t>LDV/Other Management, Light Diesel Vehicles, Other Management</t>
  </si>
  <si>
    <t>NRJ849</t>
  </si>
  <si>
    <t>MNAUMFF60MW170095</t>
  </si>
  <si>
    <t>Ford Ranger 2021 4x4 XLT DC WS</t>
  </si>
  <si>
    <t>521</t>
  </si>
  <si>
    <t>bE2</t>
  </si>
  <si>
    <t>Light Diesel Vehicles, Diesel, LDV/PE, Other Management</t>
  </si>
  <si>
    <t>Company Group&gt;Asset Information&gt;Asset Type&gt;Vehicle&gt;Light Diesel Vehicles, Company Group&gt;Asset Information&gt;Powertrain and Fuel Type&gt;Internal Combustion Engine&gt;Diesel, Company Group&gt;LDV/PE, Company Group&gt;Other Management</t>
  </si>
  <si>
    <t>Diesel, LDV/PE, Light Diesel Vehicles, Other Management</t>
  </si>
  <si>
    <t>McCarthy</t>
  </si>
  <si>
    <t>james.mccarthy@unitedcivil.co.nz</t>
  </si>
  <si>
    <t>586 Swamp Road, Puketapu 4183, New Zealand</t>
  </si>
  <si>
    <t>G9W8T5W5TJBH</t>
  </si>
  <si>
    <t>NRJ851</t>
  </si>
  <si>
    <t>MNAUMFF60MW170096</t>
  </si>
  <si>
    <t>Ford Ranger 2021 4x4 XLT D/C W/S</t>
  </si>
  <si>
    <t>522</t>
  </si>
  <si>
    <t>b182</t>
  </si>
  <si>
    <t>Nick</t>
  </si>
  <si>
    <t>Ashurst</t>
  </si>
  <si>
    <t>nick.ashurst@unitedcivil.co.nz</t>
  </si>
  <si>
    <t>G959RDZP1H3W</t>
  </si>
  <si>
    <t>NSR530</t>
  </si>
  <si>
    <t>MNAUMFF60MW176931</t>
  </si>
  <si>
    <t>523</t>
  </si>
  <si>
    <t>bD2</t>
  </si>
  <si>
    <t>Iri</t>
  </si>
  <si>
    <t>Ritchie</t>
  </si>
  <si>
    <t>iri.ritchie@unitedcivil.co.nz</t>
  </si>
  <si>
    <t>1294 Taihape Road, Sherenden 4179, New Zealand</t>
  </si>
  <si>
    <t>G9317WZB9RM4</t>
  </si>
  <si>
    <t>NSR531</t>
  </si>
  <si>
    <t>MNAUMFF60MW176935</t>
  </si>
  <si>
    <t>524</t>
  </si>
  <si>
    <t>bF9</t>
  </si>
  <si>
    <t>28 Waro Drive, Hikurangi 0114, New Zealand</t>
  </si>
  <si>
    <t>G9ZF7YU7WDW7</t>
  </si>
  <si>
    <t>NZF473</t>
  </si>
  <si>
    <t>MR0JA3DD300349509</t>
  </si>
  <si>
    <t>Toyota Hilux 2022 4x2 SR D/C W/S</t>
  </si>
  <si>
    <t>Hilux</t>
  </si>
  <si>
    <t>TrimLevel: GUN1##;VehicleType: Truck - Pickup;MainVehicleType: Dual-Purpose Vehicle;SecondaryVehicleType: Light Duty Pickup;Manufacturer: Toyota;Company: Toyota Motor Thailand Co Ltd;VIN Error: None;</t>
  </si>
  <si>
    <t>525</t>
  </si>
  <si>
    <t>b11A</t>
  </si>
  <si>
    <t>179 Otaika Road, Raumanga, Whangārei 0110, New Zealand</t>
  </si>
  <si>
    <t>G9A3TKXBWJ41</t>
  </si>
  <si>
    <t>NZW104</t>
  </si>
  <si>
    <t>MR0JA3DD300349526</t>
  </si>
  <si>
    <t>526</t>
  </si>
  <si>
    <t>b188</t>
  </si>
  <si>
    <t>Olsen</t>
  </si>
  <si>
    <t>mark.olsen@unitedcivil.co.nz</t>
  </si>
  <si>
    <t>11 Shoebridge Crescent, Ngunguru 0173, New Zealand</t>
  </si>
  <si>
    <t>G9VWFN34WNKK</t>
  </si>
  <si>
    <t>NZW118</t>
  </si>
  <si>
    <t>MR0JA3DDX00371667</t>
  </si>
  <si>
    <t>527</t>
  </si>
  <si>
    <t>b18B</t>
  </si>
  <si>
    <t>Gary</t>
  </si>
  <si>
    <t>Blackwood</t>
  </si>
  <si>
    <t>gary.blackwood@unitedcivil.co.nz</t>
  </si>
  <si>
    <t>5 Taniwha Street, Taupō 3330, New Zealand</t>
  </si>
  <si>
    <t>G9WWXVES7ZVV</t>
  </si>
  <si>
    <t>PAP496</t>
  </si>
  <si>
    <t>MR0JA3DD600349536</t>
  </si>
  <si>
    <t>528</t>
  </si>
  <si>
    <t>b181</t>
  </si>
  <si>
    <t>Berne</t>
  </si>
  <si>
    <t>Connelly</t>
  </si>
  <si>
    <t>berne.connelly</t>
  </si>
  <si>
    <t>Kaikohe Work Area: 31 Harold Avenue, Kaikohe 0405, New Zealand</t>
  </si>
  <si>
    <t>G933JZ6MV04H</t>
  </si>
  <si>
    <t>PCE760</t>
  </si>
  <si>
    <t>MR0JA3DD800349571</t>
  </si>
  <si>
    <t>530</t>
  </si>
  <si>
    <t>bCA</t>
  </si>
  <si>
    <t>Engelbert</t>
  </si>
  <si>
    <t>Van Schalkwyk</t>
  </si>
  <si>
    <t>engelbert.vanschalkwyk@unitedcivil.co.nz</t>
  </si>
  <si>
    <t>101 Church Street, Onerahi, Whangārei 0110, New Zealand</t>
  </si>
  <si>
    <t>G95ZHRRVYTAM</t>
  </si>
  <si>
    <t>MAR717</t>
  </si>
  <si>
    <t>MR0JA3DDX00344484</t>
  </si>
  <si>
    <t>Toyota Hilux 2019 4x2 SR D/C W/S</t>
  </si>
  <si>
    <t>531</t>
  </si>
  <si>
    <t>b119</t>
  </si>
  <si>
    <t>Rico</t>
  </si>
  <si>
    <t>Cemino</t>
  </si>
  <si>
    <t>rico.cemino</t>
  </si>
  <si>
    <t>G9MZ91R7SWNN</t>
  </si>
  <si>
    <t>GUJ411</t>
  </si>
  <si>
    <t>Isuzu D-Max 2013 4X2 LS D/C W/S</t>
  </si>
  <si>
    <t>532</t>
  </si>
  <si>
    <t>b189</t>
  </si>
  <si>
    <t>Electric Vehicles, Battery Electric Vehicle, BYD, EV/PE, PE</t>
  </si>
  <si>
    <t>Company Group&gt;Asset Information&gt;Asset Type&gt;Vehicle&gt;Electric Vehicles, Company Group&gt;Asset Information&gt;Powertrain and Fuel Type&gt;Electric or Plug-In Hybrid&gt;Battery Electric Vehicle, Company Group&gt;BYD, Company Group&gt;EV/PE, Company Group&gt;PE</t>
  </si>
  <si>
    <t>Battery Electric Vehicle, BYD, Electric Vehicles, EV/PE, PE</t>
  </si>
  <si>
    <t>Michael</t>
  </si>
  <si>
    <t>Polglase</t>
  </si>
  <si>
    <t>michael.polglase@unitedcivil.co.nz</t>
  </si>
  <si>
    <t>28 Mountain Road, Morningside, Whangārei 0110, New Zealand</t>
  </si>
  <si>
    <t>G9K1YD6WD4P7</t>
  </si>
  <si>
    <t>QAJ980</t>
  </si>
  <si>
    <t>LGXCE4CB9P2039772</t>
  </si>
  <si>
    <t>BYD Atto 3 2023 Extended Range</t>
  </si>
  <si>
    <t>BYD</t>
  </si>
  <si>
    <t>Atto 3 / Yuan Plus</t>
  </si>
  <si>
    <t>2023</t>
  </si>
  <si>
    <t>VehicleType: Passenger Car;MainVehicleType: Passenger Vehicle;SecondaryVehicleType: SUV;Manufacturer: BYD;Company: BYD Auto Co. Ltd.;VIN Error: None;</t>
  </si>
  <si>
    <t>533</t>
  </si>
  <si>
    <t>b2</t>
  </si>
  <si>
    <t>Electric Vehicles, Battery Electric Vehicle, BYD, EV/Other Management, Other Management</t>
  </si>
  <si>
    <t>Company Group&gt;Asset Information&gt;Asset Type&gt;Vehicle&gt;Electric Vehicles, Company Group&gt;Asset Information&gt;Powertrain and Fuel Type&gt;Electric or Plug-In Hybrid&gt;Battery Electric Vehicle, Company Group&gt;BYD, Company Group&gt;EV/Other Management, Company Group&gt;Other Management</t>
  </si>
  <si>
    <t>Battery Electric Vehicle, BYD, Electric Vehicles, EV/Other Management, Other Management</t>
  </si>
  <si>
    <t>Tom</t>
  </si>
  <si>
    <t>Collis</t>
  </si>
  <si>
    <t>tom.collis@unitedcivil.co.nz</t>
  </si>
  <si>
    <t>G9P2UPYBVE0Y</t>
  </si>
  <si>
    <t>QAU621</t>
  </si>
  <si>
    <t>LGXCE4CB8P2039861</t>
  </si>
  <si>
    <t>534</t>
  </si>
  <si>
    <t>b16F</t>
  </si>
  <si>
    <t>Electric Vehicles, Battery Electric Vehicle, EV/Other Management, Other Management</t>
  </si>
  <si>
    <t>Company Group&gt;Asset Information&gt;Asset Type&gt;Vehicle&gt;Electric Vehicles, Company Group&gt;Asset Information&gt;Powertrain and Fuel Type&gt;Electric or Plug-In Hybrid&gt;Battery Electric Vehicle, Company Group&gt;EV/Other Management, Company Group&gt;Other Management</t>
  </si>
  <si>
    <t>Battery Electric Vehicle, Electric Vehicles, EV/Other Management, Other Management</t>
  </si>
  <si>
    <t>Tania</t>
  </si>
  <si>
    <t>Tipene</t>
  </si>
  <si>
    <t>tania.tipene@unitedcivil.co.nz</t>
  </si>
  <si>
    <t>134 Otaika Road, Raumanga, Whangārei 0110, New Zealand</t>
  </si>
  <si>
    <t>G949VT146DYK</t>
  </si>
  <si>
    <t>QFC57</t>
  </si>
  <si>
    <t>LRWYHCFS4PC205476</t>
  </si>
  <si>
    <t>Tesla Model Y 2023</t>
  </si>
  <si>
    <t>Tesla</t>
  </si>
  <si>
    <t>Model Y</t>
  </si>
  <si>
    <t>TrimLevel: Battery: Lithium Iron/LFP;VehicleType: Passenger Car;MainVehicleType: Passenger Vehicle;SecondaryVehicleType: Standard;Manufacturer: Tesla;Company: Tesla, Inc. (Gigafactory Shanghai);Country: China;Plant: Shanghai;VIN Error: None;</t>
  </si>
  <si>
    <t>535</t>
  </si>
  <si>
    <t>b1A1</t>
  </si>
  <si>
    <t>Electric Vehicles, Battery Electric Vehicle, EV/PM, PM</t>
  </si>
  <si>
    <t>Company Group&gt;Asset Information&gt;Asset Type&gt;Vehicle&gt;Electric Vehicles, Company Group&gt;Asset Information&gt;Powertrain and Fuel Type&gt;Electric or Plug-In Hybrid&gt;Battery Electric Vehicle, Company Group&gt;EV/PM, Company Group&gt;PM</t>
  </si>
  <si>
    <t>Battery Electric Vehicle, Electric Vehicles, EV/PM, PM</t>
  </si>
  <si>
    <t>18 Western View Heights, Horahora, Whangārei 0110, New Zealand</t>
  </si>
  <si>
    <t>G96868U7EAWZ</t>
  </si>
  <si>
    <t>QFC58</t>
  </si>
  <si>
    <t>LRWYHCFS5PC205082</t>
  </si>
  <si>
    <t>Tesla Model Y 2024</t>
  </si>
  <si>
    <t>536</t>
  </si>
  <si>
    <t>bF3</t>
  </si>
  <si>
    <t>Tony</t>
  </si>
  <si>
    <t>Abiad</t>
  </si>
  <si>
    <t>tony.abiad@unitedcivil.co.nz</t>
  </si>
  <si>
    <t>510 Hart Drive, Frimley, Hastings 4120, New Zealand</t>
  </si>
  <si>
    <t>G93VNTJEVMVH</t>
  </si>
  <si>
    <t>QFC71</t>
  </si>
  <si>
    <t>LRWYHCFS3PC205081</t>
  </si>
  <si>
    <t>537</t>
  </si>
  <si>
    <t>bFD</t>
  </si>
  <si>
    <t>Arthur</t>
  </si>
  <si>
    <t>Ruedi</t>
  </si>
  <si>
    <t>arthur.ruedi@unitedcivil.co.nz</t>
  </si>
  <si>
    <t>69B Sands Road, Whareora 0173, New Zealand</t>
  </si>
  <si>
    <t>G9D22RY888ED</t>
  </si>
  <si>
    <t>QJZ870</t>
  </si>
  <si>
    <t>MR0JA3DD700352025</t>
  </si>
  <si>
    <t>Toyota Hilux 2024 4x2 SR D/C W/S</t>
  </si>
  <si>
    <t>538</t>
  </si>
  <si>
    <t>b111</t>
  </si>
  <si>
    <t>Josh</t>
  </si>
  <si>
    <t>Welch</t>
  </si>
  <si>
    <t>josh.welch@unitedcivil.co.nz</t>
  </si>
  <si>
    <t>91 Fisher Terrace, Te Kamo, Whangārei 0112, New Zealand</t>
  </si>
  <si>
    <t>G91F211C476D</t>
  </si>
  <si>
    <t>QJZ871</t>
  </si>
  <si>
    <t>MR0JA3DD400352032</t>
  </si>
  <si>
    <t>539</t>
  </si>
  <si>
    <t>b10B</t>
  </si>
  <si>
    <t>Lyle</t>
  </si>
  <si>
    <t>McGaughey</t>
  </si>
  <si>
    <t>lyle.mcgaughey@unitedcivil.co.nz</t>
  </si>
  <si>
    <t>34 Fisher Terrace, Te Kamo, Whangārei 0112, New Zealand</t>
  </si>
  <si>
    <t>G908211C4477</t>
  </si>
  <si>
    <t>QJZ872</t>
  </si>
  <si>
    <t>MR0JA3DD300372188</t>
  </si>
  <si>
    <t>540</t>
  </si>
  <si>
    <t>bFA</t>
  </si>
  <si>
    <t>Wood</t>
  </si>
  <si>
    <t>cameron.wood@unitedcivil.co.nz</t>
  </si>
  <si>
    <t>39 Whau Valley Road, Whau Valley, Whangārei 0112, New Zealand</t>
  </si>
  <si>
    <t>G98E0YZ3A48W</t>
  </si>
  <si>
    <t>QJZ873</t>
  </si>
  <si>
    <t>MR0JA3DD200352028</t>
  </si>
  <si>
    <t>541</t>
  </si>
  <si>
    <t>b185</t>
  </si>
  <si>
    <t>Rob</t>
  </si>
  <si>
    <t>Wilson</t>
  </si>
  <si>
    <t>rob.wilson@unitedcivil.co.nz</t>
  </si>
  <si>
    <t>206 Eastbourne Street East, Hastings 4122, New Zealand</t>
  </si>
  <si>
    <t>G932KFT7H2XV</t>
  </si>
  <si>
    <t>QJG431</t>
  </si>
  <si>
    <t>LRWYHCFS7PC330682</t>
  </si>
  <si>
    <t>542</t>
  </si>
  <si>
    <t>bD5</t>
  </si>
  <si>
    <t>Matthew</t>
  </si>
  <si>
    <t>Oud</t>
  </si>
  <si>
    <t>matthew.oud@unitedcivil.co.nz</t>
  </si>
  <si>
    <t>36 Waterview Ridge, Waipu 0582, New Zealand</t>
  </si>
  <si>
    <t>G991HRR5U2MA</t>
  </si>
  <si>
    <t>QTB354</t>
  </si>
  <si>
    <t>MR0KA3CC501181914</t>
  </si>
  <si>
    <t>Toyota Hilux 2024 SR 2.8DT 6MT 4WD</t>
  </si>
  <si>
    <t>543</t>
  </si>
  <si>
    <t>bE0</t>
  </si>
  <si>
    <t>Lee</t>
  </si>
  <si>
    <t>Clasper</t>
  </si>
  <si>
    <t>lee.clasper@unitedcivil.co.nz</t>
  </si>
  <si>
    <t>147 Kirkbride Road, Māngere, Auckland 2022, New Zealand</t>
  </si>
  <si>
    <t>G9113W9ERJNU</t>
  </si>
  <si>
    <t>QMT235</t>
  </si>
  <si>
    <t>LRWYHCFS2PC345803</t>
  </si>
  <si>
    <t>544</t>
  </si>
  <si>
    <t>bD0</t>
  </si>
  <si>
    <t>Alex</t>
  </si>
  <si>
    <t>Fitch</t>
  </si>
  <si>
    <t>alex.fitch@unitedcivil.co.nz</t>
  </si>
  <si>
    <t>79 Maturiki Drive, Ruakākā 0118, New Zealand</t>
  </si>
  <si>
    <t>G9M0WCRBKFC8</t>
  </si>
  <si>
    <t>QMT236</t>
  </si>
  <si>
    <t>LRWYHCFS3PC345793</t>
  </si>
  <si>
    <t>545</t>
  </si>
  <si>
    <t>b18E</t>
  </si>
  <si>
    <t>Electric Vehicles, Battery Electric Vehicle, EV/PE</t>
  </si>
  <si>
    <t>Company Group&gt;Asset Information&gt;Asset Type&gt;Vehicle&gt;Electric Vehicles, Company Group&gt;Asset Information&gt;Powertrain and Fuel Type&gt;Electric or Plug-In Hybrid&gt;Battery Electric Vehicle, Company Group&gt;EV/PE</t>
  </si>
  <si>
    <t>Battery Electric Vehicle, Electric Vehicles, EV/PE</t>
  </si>
  <si>
    <t>Akash</t>
  </si>
  <si>
    <t>Nada</t>
  </si>
  <si>
    <t>akash.nada@unitedcivil.co.nz</t>
  </si>
  <si>
    <t>103 Kiripaka Road, Tikipunga, Whangārei 0112, New Zealand</t>
  </si>
  <si>
    <t>G93RP31XZ50R</t>
  </si>
  <si>
    <t>QHD437</t>
  </si>
  <si>
    <t>LGXCE4CB9P2133795</t>
  </si>
  <si>
    <t>546</t>
  </si>
  <si>
    <t>b130</t>
  </si>
  <si>
    <t>Light Petrol Vehicles, Gasoline or Petrol, BYD, LPV/PM, Other Management</t>
  </si>
  <si>
    <t>Company Group&gt;Asset Information&gt;Asset Type&gt;Vehicle&gt;Light Petrol Vehicles, Company Group&gt;Asset Information&gt;Powertrain and Fuel Type&gt;Internal Combustion Engine&gt;Gasoline or Petrol, Company Group&gt;BYD, Company Group&gt;LPV/PM, Company Group&gt;Other Management</t>
  </si>
  <si>
    <t>BYD, Gasoline or Petrol, Light Petrol Vehicles, LPV/PM, Other Management</t>
  </si>
  <si>
    <t>Jacob</t>
  </si>
  <si>
    <t>Dunn</t>
  </si>
  <si>
    <t>jacob.dunn@unitedcivil.co.nz</t>
  </si>
  <si>
    <t>18 Charis Lane, Wellsford 0975, New Zealand</t>
  </si>
  <si>
    <t>G9894E1HHXR6</t>
  </si>
  <si>
    <t>RBL829</t>
  </si>
  <si>
    <t>LPE19W2A6SF058371</t>
  </si>
  <si>
    <t>BYD Shark 2025</t>
  </si>
  <si>
    <t>Shark</t>
  </si>
  <si>
    <t>2025</t>
  </si>
  <si>
    <t>VehicleType: Truck - Pickup;MainVehicleType: Dual-Purpose Vehicle;SecondaryVehicleType: Light Duty Pickup;Manufacturer: BYD;Company: BYD Auto Industry Company Limited;Country: China;Body: Long-head Crew Cab, Bearing Body;VIN Error: None;</t>
  </si>
  <si>
    <t>547</t>
  </si>
  <si>
    <t>b131</t>
  </si>
  <si>
    <t>Light Petrol Vehicles, Gasoline or Petrol, LPV/PM, PM</t>
  </si>
  <si>
    <t>Company Group&gt;Asset Information&gt;Asset Type&gt;Vehicle&gt;Light Petrol Vehicles, Company Group&gt;Asset Information&gt;Powertrain and Fuel Type&gt;Internal Combustion Engine&gt;Gasoline or Petrol, Company Group&gt;LPV/PM, Company Group&gt;PM</t>
  </si>
  <si>
    <t>Gasoline or Petrol, Light Petrol Vehicles, LPV/PM, PM</t>
  </si>
  <si>
    <t>Grant</t>
  </si>
  <si>
    <t>Little</t>
  </si>
  <si>
    <t>grant.little@unitedcivil.co.nz</t>
  </si>
  <si>
    <t>97 Hospital Road, Horahora, Whangārei 0110, New Zealand</t>
  </si>
  <si>
    <t>G90XZ7AP9EJY</t>
  </si>
  <si>
    <t>RBL830</t>
  </si>
  <si>
    <t>LPE19W2A4SF058434</t>
  </si>
  <si>
    <t>548</t>
  </si>
  <si>
    <t>b19A</t>
  </si>
  <si>
    <t>Electric Vehicles, Battery Electric Vehicle</t>
  </si>
  <si>
    <t>Company Group&gt;Asset Information&gt;Asset Type&gt;Vehicle&gt;Electric Vehicles, Company Group&gt;Asset Information&gt;Powertrain and Fuel Type&gt;Electric or Plug-In Hybrid&gt;Battery Electric Vehicle</t>
  </si>
  <si>
    <t>Battery Electric Vehicle, Electric Vehicles</t>
  </si>
  <si>
    <t>Mandeno</t>
  </si>
  <si>
    <t>paul.mandeno@unitedcivil.co.nz</t>
  </si>
  <si>
    <t>G9JM2ABSFY81</t>
  </si>
  <si>
    <t>LRWYHCFS4NC518752</t>
  </si>
  <si>
    <t>Tesla Model Y 2022</t>
  </si>
  <si>
    <t>2022</t>
  </si>
  <si>
    <t>549</t>
  </si>
  <si>
    <t>b1A0</t>
  </si>
  <si>
    <t>5 View Street, Maungaturoto 0520, New Zealand</t>
  </si>
  <si>
    <t>G9AJKJ1K3S69</t>
  </si>
  <si>
    <t>RET187</t>
  </si>
  <si>
    <t>MR0JA3DD500354310</t>
  </si>
  <si>
    <t>Toyota Hilux 2025 4x2 SR D/C W/S</t>
  </si>
  <si>
    <t>550</t>
  </si>
  <si>
    <t>b198</t>
  </si>
  <si>
    <t>Andrew</t>
  </si>
  <si>
    <t>Davidson</t>
  </si>
  <si>
    <t>andrew.davidson@unitedcivil.co.nz</t>
  </si>
  <si>
    <t>64B Mission Road, Kerikeri 0230, New Zealand</t>
  </si>
  <si>
    <t>G9VD2462W5YR</t>
  </si>
  <si>
    <t>RET188</t>
  </si>
  <si>
    <t>MR0JA3DD500354307</t>
  </si>
  <si>
    <t>551</t>
  </si>
  <si>
    <t>b192</t>
  </si>
  <si>
    <t>Light Diesel Vehicles, Diesel, LDV/PE</t>
  </si>
  <si>
    <t>Company Group&gt;Asset Information&gt;Asset Type&gt;Vehicle&gt;Light Diesel Vehicles, Company Group&gt;Asset Information&gt;Powertrain and Fuel Type&gt;Internal Combustion Engine&gt;Diesel, Company Group&gt;LDV/PE</t>
  </si>
  <si>
    <t>Diesel, LDV/PE, Light Diesel Vehicles</t>
  </si>
  <si>
    <t>Oliver</t>
  </si>
  <si>
    <t>Copsey</t>
  </si>
  <si>
    <t>oliver.copsey@unitedcivil.co.nz</t>
  </si>
  <si>
    <t>63 Freyberg Avenue, Tamatea, Napier 4112, New Zealand</t>
  </si>
  <si>
    <t>G9HU6STFR23U</t>
  </si>
  <si>
    <t>RET189</t>
  </si>
  <si>
    <t>MR0JA3DD700354308</t>
  </si>
  <si>
    <t>New Toyota Hilux</t>
  </si>
  <si>
    <t>552</t>
  </si>
  <si>
    <t>b218</t>
  </si>
  <si>
    <t>Light Petrol Vehicles, Gasoline or Petrol, LPV/PM</t>
  </si>
  <si>
    <t>Company Group&gt;Asset Information&gt;Asset Type&gt;Vehicle&gt;Light Petrol Vehicles, Company Group&gt;Asset Information&gt;Powertrain and Fuel Type&gt;Internal Combustion Engine&gt;Gasoline or Petrol, Company Group&gt;LPV/PM</t>
  </si>
  <si>
    <t>Gasoline or Petrol, Light Petrol Vehicles, LPV/PM</t>
  </si>
  <si>
    <t>Brent</t>
  </si>
  <si>
    <t>Cross</t>
  </si>
  <si>
    <t>brent.cross@unitedcivil.co.nz</t>
  </si>
  <si>
    <t>96 Fourth Avenue, Woodhill, Whangārei 0110, New Zealand</t>
  </si>
  <si>
    <t>G9U6DX7V59F6</t>
  </si>
  <si>
    <t>RFN414</t>
  </si>
  <si>
    <t>LPE19W2A2SF199146</t>
  </si>
  <si>
    <t>BYD Shark 6 2025 AWD D/C W/S</t>
  </si>
  <si>
    <t>553</t>
  </si>
  <si>
    <t>b27F</t>
  </si>
  <si>
    <t>Electric Vehicles, BYD, EV/Other Management</t>
  </si>
  <si>
    <t>Company Group&gt;Asset Information&gt;Asset Type&gt;Vehicle&gt;Electric Vehicles, Company Group&gt;BYD, Company Group&gt;EV/Other Management</t>
  </si>
  <si>
    <t>BYD, Electric Vehicles, EV/Other Management</t>
  </si>
  <si>
    <t>13 Nottingham Road, Onerahi, Whangārei 0110, New Zealand</t>
  </si>
  <si>
    <t>G9V3CWPS27KR</t>
  </si>
  <si>
    <t>RDQ876</t>
  </si>
  <si>
    <t>LGXCE4CB3S2083615</t>
  </si>
  <si>
    <t>BYD Atto 3 2025 Extended Range</t>
  </si>
  <si>
    <t>554</t>
  </si>
  <si>
    <t>b27E</t>
  </si>
  <si>
    <t>Light Petrol Vehicles, Gasoline or Petrol</t>
  </si>
  <si>
    <t>Company Group&gt;Asset Information&gt;Asset Type&gt;Vehicle&gt;Light Petrol Vehicles, Company Group&gt;Asset Information&gt;Powertrain and Fuel Type&gt;Internal Combustion Engine&gt;Gasoline or Petrol</t>
  </si>
  <si>
    <t>Gasoline or Petrol, Light Petrol Vehicles</t>
  </si>
  <si>
    <t>96 Franklin Road, Parua Bay 0192, New Zealand</t>
  </si>
  <si>
    <t>G9KKRFJA0AM6</t>
  </si>
  <si>
    <t>Automatic</t>
  </si>
  <si>
    <t>LPE19W2AXSF199153</t>
  </si>
  <si>
    <t>601</t>
  </si>
  <si>
    <t>bFE</t>
  </si>
  <si>
    <t>Heavy Diesel Vehicles, HDV/Trade Staff, Trade Staff</t>
  </si>
  <si>
    <t>Company Group&gt;Asset Information&gt;Asset Type&gt;Vehicle&gt;Heavy Diesel Vehicles, Company Group&gt;HDV/Trade Staff, Company Group&gt;Trade Staff</t>
  </si>
  <si>
    <t>HDV/Trade Staff, Heavy Diesel Vehicles, Trade Staff</t>
  </si>
  <si>
    <t>G93E211AE8EF</t>
  </si>
  <si>
    <t>PWG214</t>
  </si>
  <si>
    <t>Isuzu CYZ 460 Giga 2008</t>
  </si>
  <si>
    <t>602</t>
  </si>
  <si>
    <t>bF8</t>
  </si>
  <si>
    <t>G9PBUFWUJ5VP</t>
  </si>
  <si>
    <t>BHR201</t>
  </si>
  <si>
    <t>Hino GD 2003</t>
  </si>
  <si>
    <t>603</t>
  </si>
  <si>
    <t>b19F</t>
  </si>
  <si>
    <t>Kaikohe: 12 Lindvart Street, Kaikohe 0474, New Zealand</t>
  </si>
  <si>
    <t>G9914R3E9E1A</t>
  </si>
  <si>
    <t>DYJ738</t>
  </si>
  <si>
    <t>Isuzu Elf NRR 1999</t>
  </si>
  <si>
    <t>607</t>
  </si>
  <si>
    <t>b19C</t>
  </si>
  <si>
    <t>G97HC312C19M</t>
  </si>
  <si>
    <t>JHU122</t>
  </si>
  <si>
    <t>JALCYZ52LD7000110</t>
  </si>
  <si>
    <t>Isuzu CYZ400 2015</t>
  </si>
  <si>
    <t>Isuzu</t>
  </si>
  <si>
    <t>C Series / CYZ 6x4</t>
  </si>
  <si>
    <t>VehicleType: Truck - Heavy Duty;MainVehicleType: Goods Carrier;SecondaryVehicleType: Heavy Duty Truck;Manufacturer: Isuzu;Company: Isuzu Motors Ltd.;Country: Japan;Plant: Fujisawa;Gvw: Class 4 (14001 - 16000 lbs);Brakes: Hydraulic;Engine: 6WG1 Engine;VIN Error: None;</t>
  </si>
  <si>
    <t>608</t>
  </si>
  <si>
    <t>b10C</t>
  </si>
  <si>
    <t>G971211C5218</t>
  </si>
  <si>
    <t>JHU139</t>
  </si>
  <si>
    <t>JALFVZ34PE7001285</t>
  </si>
  <si>
    <t>Isuzu FVZ1400M 2015</t>
  </si>
  <si>
    <t>F Series / Forward / FVZ 6x4</t>
  </si>
  <si>
    <t>VehicleType: Truck - Heavy Duty;MainVehicleType: Goods Carrier;SecondaryVehicleType: Heavy Duty Truck;Manufacturer: Isuzu;Company: Isuzu Motors Ltd.;Country: Japan;Plant: Fujisawa;Gvw: Class 6 (19501 - 26000 lbs);VIN Error: None;</t>
  </si>
  <si>
    <t>609</t>
  </si>
  <si>
    <t>b18A</t>
  </si>
  <si>
    <t>Heavy Diesel Vehicles, Diesel, HDV/Trade Staff, Trade Staff</t>
  </si>
  <si>
    <t>Company Group&gt;Asset Information&gt;Asset Type&gt;Vehicle&gt;Heavy Diesel Vehicles, Company Group&gt;Asset Information&gt;Powertrain and Fuel Type&gt;Internal Combustion Engine&gt;Diesel, Company Group&gt;HDV/Trade Staff, Company Group&gt;Trade Staff</t>
  </si>
  <si>
    <t>Diesel, HDV/Trade Staff, Heavy Diesel Vehicles, Trade Staff</t>
  </si>
  <si>
    <t>56</t>
  </si>
  <si>
    <t>G9JPYY30146R</t>
  </si>
  <si>
    <t>JRT503</t>
  </si>
  <si>
    <t>JALFVZ34SE7000210</t>
  </si>
  <si>
    <t>Isuzu FVZ1400A 2016</t>
  </si>
  <si>
    <t>610</t>
  </si>
  <si>
    <t>b174</t>
  </si>
  <si>
    <t>Heavy Diesel Vehicles, Trade Staff</t>
  </si>
  <si>
    <t>Company Group&gt;Asset Information&gt;Asset Type&gt;Vehicle&gt;Heavy Diesel Vehicles, Company Group&gt;Trade Staff</t>
  </si>
  <si>
    <t>Carl</t>
  </si>
  <si>
    <t>Riesterer</t>
  </si>
  <si>
    <t>carl.riesterer</t>
  </si>
  <si>
    <t>4 Cobble Lane, Morningside, Whangārei 0110, New Zealand</t>
  </si>
  <si>
    <t>G90RJP3ABURM</t>
  </si>
  <si>
    <t>LDM30</t>
  </si>
  <si>
    <t>Hino 300 2009.  Unit transferred from Ute 469 in Aug 2025</t>
  </si>
  <si>
    <t>611</t>
  </si>
  <si>
    <t>bD7</t>
  </si>
  <si>
    <t>G9K2Z7KKHUCV</t>
  </si>
  <si>
    <t>LWM567</t>
  </si>
  <si>
    <t>FRR90`````7102538</t>
  </si>
  <si>
    <t>Isuzu Forward FRR90S1 2016 Tipper</t>
  </si>
  <si>
    <t>612</t>
  </si>
  <si>
    <t>b10A</t>
  </si>
  <si>
    <t>G934211AE8E5</t>
  </si>
  <si>
    <t>MDP124</t>
  </si>
  <si>
    <t>JAANPR75LJ7100427</t>
  </si>
  <si>
    <t>Isuzu N Series / ELF / NPR 4x2 (2018)</t>
  </si>
  <si>
    <t>N Series / ELF / NPR 4x2</t>
  </si>
  <si>
    <t>VehicleType: Truck - Heavy Duty;MainVehicleType: Goods Carrier;SecondaryVehicleType: Heavy Duty Truck;Manufacturer: Isuzu;Company: Isuzu Motor Co;Country: Japan;Plant: Fujisawa;Gvw: Class 4 (14001 - 16000 lbs);Engine: 4HK1 Engine;VIN Error: None;</t>
  </si>
  <si>
    <t>613</t>
  </si>
  <si>
    <t>b19B</t>
  </si>
  <si>
    <t>Pat (Dale)</t>
  </si>
  <si>
    <t>Clotworthy</t>
  </si>
  <si>
    <t>pat.clotworthy@unitedcivil.co.nz</t>
  </si>
  <si>
    <t>G924NZBAUAU0</t>
  </si>
  <si>
    <t>JAANPR75HJ7105429</t>
  </si>
  <si>
    <t>Isuzu NPR325 4x2 2020</t>
  </si>
  <si>
    <t>615</t>
  </si>
  <si>
    <t>b199</t>
  </si>
  <si>
    <t>David (Nick)</t>
  </si>
  <si>
    <t>Stewart</t>
  </si>
  <si>
    <t>nick.stewart</t>
  </si>
  <si>
    <t>G96YFXY72SWU</t>
  </si>
  <si>
    <t>PHE415</t>
  </si>
  <si>
    <t>JALCYZ52LF7000576</t>
  </si>
  <si>
    <t>Isuzu CYZ400 2022</t>
  </si>
  <si>
    <t>616</t>
  </si>
  <si>
    <t>bFF</t>
  </si>
  <si>
    <t>Hetaraka</t>
  </si>
  <si>
    <t>Te Nana</t>
  </si>
  <si>
    <t>hetaraka.tenana</t>
  </si>
  <si>
    <t>G969211C5101</t>
  </si>
  <si>
    <t>QFD256</t>
  </si>
  <si>
    <t>JALCYZ52NN7000006</t>
  </si>
  <si>
    <t>Isuzu CYZ420 2023</t>
  </si>
  <si>
    <t>VehicleType: Truck - Heavy Duty;MainVehicleType: Goods Carrier;SecondaryVehicleType: Heavy Duty Truck;Manufacturer: Isuzu;Company: Isuzu Motors Ltd, Japan;Country: Japan;Plant: Fujisawa;Gvw: Class 4 (14001 - 16000 lbs);Brakes: Hydraulic;Engine: 6WG1 Engine;Driveline: NPR-HD / 4500HD / S41, 4HK1-TC / 14500 lbs;VIN Error: None;</t>
  </si>
  <si>
    <t>700</t>
  </si>
  <si>
    <t>b183</t>
  </si>
  <si>
    <t>Roller, Roller/Trade Staff, Trade Staff</t>
  </si>
  <si>
    <t>Company Group&gt;Asset Information&gt;Asset Type&gt;Vehicle&gt;Roller, Company Group&gt;Roller/Trade Staff, Company Group&gt;Trade Staff</t>
  </si>
  <si>
    <t>Stephen</t>
  </si>
  <si>
    <t>De Leeuw</t>
  </si>
  <si>
    <t>steve.deleeuw@unitedcivil.co.nz</t>
  </si>
  <si>
    <t>Kaitaia Wastewater,Kaitaia Wastewater</t>
  </si>
  <si>
    <t>G9HE94BZVJ4X</t>
  </si>
  <si>
    <t>3T Ingersol Vibrating DD34HF</t>
  </si>
  <si>
    <t>701</t>
  </si>
  <si>
    <t>b197</t>
  </si>
  <si>
    <t>Company Group&gt;Asset Information&gt;Asset Type&gt;Equipment&gt;Roller, Company Group&gt;Roller/Trade Staff, Company Group&gt;Trade Staff</t>
  </si>
  <si>
    <t>Gillingham Road: 62 Gillingham Road, Te Kamo, Whangārei 0112, New Zealand</t>
  </si>
  <si>
    <t>G9R6TCE4CYA1</t>
  </si>
  <si>
    <t>KAT765</t>
  </si>
  <si>
    <t>12T Sakai SV520 Vibrating 2014 w Sheepsfoot</t>
  </si>
  <si>
    <t>702</t>
  </si>
  <si>
    <t>b19D</t>
  </si>
  <si>
    <t>G95XRDU5A7U0</t>
  </si>
  <si>
    <t>Ammann Rammax ARR1575 Vibrating Trench</t>
  </si>
  <si>
    <t>703</t>
  </si>
  <si>
    <t>b196</t>
  </si>
  <si>
    <t>Maungaturoto Solar Farm,Mangawhai</t>
  </si>
  <si>
    <t>Mangawhai: Mangawhai Road, 0975, New Zealand</t>
  </si>
  <si>
    <t>G9S5WV6771TY</t>
  </si>
  <si>
    <t>NLA774</t>
  </si>
  <si>
    <t>12T Hamm 3412 HT Vibrating 2021</t>
  </si>
  <si>
    <t>879</t>
  </si>
  <si>
    <t>b2C4</t>
  </si>
  <si>
    <t>Selwood 6" Dewatering Pump</t>
  </si>
  <si>
    <t>Battery Powered Asset Tracker</t>
  </si>
  <si>
    <t>b1C0</t>
  </si>
  <si>
    <t>Generator</t>
  </si>
  <si>
    <t>Company Group&gt;Asset Information&gt;Asset Type&gt;Equipment&gt;Generator</t>
  </si>
  <si>
    <t>CustomVehicleDevice</t>
  </si>
  <si>
    <t>CN7621ADDA29</t>
  </si>
  <si>
    <t>391482</t>
  </si>
  <si>
    <t>Faulty Unit - ex 610</t>
  </si>
  <si>
    <t>bF6</t>
  </si>
  <si>
    <t>Idling &gt;10 mins and  &lt;100 m,Idling &gt;5 mins and  &lt;100 m</t>
  </si>
  <si>
    <t>49 Chatswood Grove, Chatswood, Auckland 0626, New Zealand</t>
  </si>
  <si>
    <t>53</t>
  </si>
  <si>
    <t>G943MMVR1HWW</t>
  </si>
  <si>
    <t>Hino 300 2009</t>
  </si>
  <si>
    <t>Hired Excavator</t>
  </si>
  <si>
    <t>b26D</t>
  </si>
  <si>
    <t>Digger, Excavator/Tradestaff, Trade Staff</t>
  </si>
  <si>
    <t>Company Group&gt;Asset Information&gt;Asset Type&gt;Vehicle&gt;Digger, Company Group&gt;Excavator/Tradestaff, Company Group&gt;Trade Staff</t>
  </si>
  <si>
    <t>Hired Loader</t>
  </si>
  <si>
    <t>b270</t>
  </si>
  <si>
    <t>Loader, Loader/Trade Staff, Trade Staff</t>
  </si>
  <si>
    <t>Company Group&gt;Asset Information&gt;Asset Type&gt;Vehicle&gt;Loader, Company Group&gt;Loader/Trade Staff, Company Group&gt;Trade Staff</t>
  </si>
  <si>
    <t>4</t>
  </si>
  <si>
    <t>Hired Roller</t>
  </si>
  <si>
    <t>b26F</t>
  </si>
  <si>
    <t>3</t>
  </si>
  <si>
    <t>Hired Telehandler</t>
  </si>
  <si>
    <t>b271</t>
  </si>
  <si>
    <t>Loader, Telehandler/Trade Staff, Trade Staff</t>
  </si>
  <si>
    <t>Company Group&gt;Asset Information&gt;Asset Type&gt;Vehicle&gt;Loader, Company Group&gt;Telehandler/Trade Staff, Company Group&gt;Trade Staff</t>
  </si>
  <si>
    <t>Hired Truck</t>
  </si>
  <si>
    <t>b26E</t>
  </si>
  <si>
    <t>2</t>
  </si>
  <si>
    <t>Device Report</t>
  </si>
  <si>
    <t>Report Time Zone</t>
  </si>
  <si>
    <t>Distance Unit</t>
  </si>
  <si>
    <t>Device</t>
  </si>
  <si>
    <t>Device Group</t>
  </si>
  <si>
    <t>First Name</t>
  </si>
  <si>
    <t>Last Name</t>
  </si>
  <si>
    <t>Current Driver</t>
  </si>
  <si>
    <t>Work time</t>
  </si>
  <si>
    <t>Current Activity</t>
  </si>
  <si>
    <t>Current Odometer</t>
  </si>
  <si>
    <t>Current Engine Hours</t>
  </si>
  <si>
    <t>Active from</t>
  </si>
  <si>
    <t>Active to</t>
  </si>
  <si>
    <t>Is Archived (Historical)</t>
  </si>
  <si>
    <t>Device Type</t>
  </si>
  <si>
    <t>Firmware Version</t>
  </si>
  <si>
    <t>Serial No.</t>
  </si>
  <si>
    <t>License Plate</t>
  </si>
  <si>
    <t>License State/Province</t>
  </si>
  <si>
    <t>Time Zone</t>
  </si>
  <si>
    <t>Device Comment</t>
  </si>
  <si>
    <t>Download Status</t>
  </si>
  <si>
    <t>Last Communication Date</t>
  </si>
  <si>
    <t>120.0.0</t>
  </si>
  <si>
    <t>120.42.57</t>
  </si>
  <si>
    <t>-1..</t>
  </si>
  <si>
    <t>120.37.27</t>
  </si>
  <si>
    <t>120.42.55</t>
  </si>
  <si>
    <t>120.45.22</t>
  </si>
  <si>
    <t>120.45.20</t>
  </si>
  <si>
    <t>120.42.59</t>
  </si>
  <si>
    <t>120.45.21</t>
  </si>
  <si>
    <t>120.45.24</t>
  </si>
  <si>
    <t>120.42.56</t>
  </si>
  <si>
    <t>10022..</t>
  </si>
  <si>
    <t>120.42.53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</si>
</sst>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[$-409]_(&quot;$&quot;* #,##0_);[$-409]_(&quot;$&quot;* \(#,##0\);[$-409]_(&quot;$&quot;* &quot;-&quot;_);_(@_)"/>
    <numFmt numFmtId="165" formatCode="[$-409]_(* #,##0_);[$-409]_(* \(#,##0\);[$-409]_(* &quot;-&quot;_);_(@_)"/>
    <numFmt numFmtId="166" formatCode="[$-409]_(&quot;$&quot;* #,##0.00_);[$-409]_(&quot;$&quot;* \(#,##0.00\);[$-409]_(&quot;$&quot;* &quot;-&quot;??_);_(@_)"/>
    <numFmt numFmtId="167" formatCode="[$-409]_(* #,##0.00_);[$-409]_(* \(#,##0.00\);[$-409]_(* &quot;-&quot;??_);_(@_)"/>
    <numFmt numFmtId="168" formatCode="[$-409]dd/mm/yyyy\ h:mm:ss\ AM/PM"/>
    <numFmt numFmtId="169" formatCode="[$-409][h]:mm"/>
    <numFmt numFmtId="170" formatCode="[$-409]0;[$-409]\-0;[$-409];@"/>
    <numFmt numFmtId="171" formatCode="[$-409]mmm\ dd\,\ yyyy"/>
    <numFmt numFmtId="172" formatCode="[$-409]dd/mm/yyyy\ h:mm:ss"/>
    <numFmt numFmtId="173" formatCode="[$-409]mmm\ dd\,\ yyyy\ h:mm:ss\ AM/PM"/>
    <numFmt numFmtId="174" formatCode="[$-409]dd\-mm\-yyyy\ h:mm:ss\ AM/PM"/>
    <numFmt numFmtId="175" formatCode="[$-409]m/d/yy\ h:mm"/>
  </numFmts>
  <fonts count="27">
    <font>
      <sz val="10"/>
      <name val="Arial"/>
      <family val="2"/>
    </font>
    <font>
      <b/>
      <sz val="7"/>
      <color indexed="8"/>
      <name val="Tahoma"/>
      <family val="2"/>
    </font>
    <font>
      <sz val="10"/>
      <name val="Arial"/>
      <family val="2"/>
    </font>
    <font>
      <sz val="8"/>
      <color indexed="8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0" tint="-0.34998626667073579"/>
      <name val="Segoe UI"/>
      <family val="2"/>
    </font>
    <font>
      <b/>
      <sz val="8"/>
      <color theme="1"/>
      <name val="Tahoma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sz val="11"/>
      <color theme="0"/>
      <name val="Segoe UI"/>
      <family val="2"/>
    </font>
    <font>
      <sz val="11"/>
      <name val="Segoe UI"/>
      <family val="2"/>
    </font>
    <font>
      <sz val="11"/>
      <color theme="3"/>
      <name val="Segoe UI"/>
      <family val="2"/>
    </font>
    <font>
      <sz val="11"/>
      <color theme="0" tint="-0.34998626667073579"/>
      <name val="Segoe UI"/>
      <family val="2"/>
    </font>
    <font>
      <b/>
      <sz val="11"/>
      <name val="Segoe UI"/>
      <family val="2"/>
    </font>
    <font>
      <sz val="12"/>
      <name val="Segoe UI"/>
      <family val="2"/>
    </font>
    <font>
      <sz val="12"/>
      <color theme="0"/>
      <name val="Segoe UI"/>
      <family val="2"/>
    </font>
    <font>
      <b/>
      <sz val="12"/>
      <color theme="0"/>
      <name val="Segoe UI"/>
      <family val="2"/>
    </font>
    <font>
      <sz val="18"/>
      <color theme="0"/>
      <name val="Segoe UI"/>
      <family val="2"/>
    </font>
    <font>
      <sz val="16"/>
      <color theme="3"/>
      <name val="Segoe UI"/>
      <family val="2"/>
    </font>
    <font>
      <sz val="11"/>
      <name val="Segoe UI"/>
    </font>
    <font>
      <sz val="12"/>
      <name val="Segoe UI"/>
    </font>
  </fonts>
  <fills count="1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10" borderId="0" applyNumberFormat="0"/>
    <xf numFmtId="0" fontId="7" fillId="0" borderId="0" applyNumberFormat="0" applyAlignment="0"/>
    <xf numFmtId="0" fontId="8" fillId="10" borderId="0" applyNumberFormat="0"/>
    <xf numFmtId="171" fontId="4" fillId="10" borderId="0"/>
    <xf numFmtId="0" fontId="9" fillId="0" borderId="0" applyNumberFormat="0"/>
    <xf numFmtId="0" fontId="10" fillId="0" borderId="0" applyNumberFormat="0"/>
    <xf numFmtId="0" fontId="11" fillId="0" borderId="0" applyNumberFormat="0" applyFill="0" applyBorder="0" applyAlignment="0" applyProtection="0">
      <alignment horizontal="right"/>
    </xf>
    <xf numFmtId="0" fontId="9" fillId="0" borderId="0" applyNumberFormat="0"/>
  </cellStyleXfs>
  <cellXfs count="61">
    <xf numFmtId="0" fontId="0" fillId="0" borderId="0" xfId="0"/>
    <xf numFmtId="0" fontId="1" fillId="9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168" fontId="3" fillId="0" borderId="0" xfId="0" applyNumberFormat="1" applyFont="1" applyAlignment="1">
      <alignment horizontal="left"/>
    </xf>
    <xf numFmtId="0" fontId="12" fillId="0" borderId="0" xfId="0" applyFont="1"/>
    <xf numFmtId="172" fontId="3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/>
    <xf numFmtId="175" fontId="16" fillId="0" borderId="0" xfId="0" applyNumberFormat="1" applyFont="1"/>
    <xf numFmtId="1" fontId="16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168" fontId="16" fillId="0" borderId="0" xfId="0" applyNumberFormat="1" applyFont="1" applyAlignment="1">
      <alignment horizontal="left"/>
    </xf>
    <xf numFmtId="168" fontId="16" fillId="0" borderId="0" xfId="0" applyNumberFormat="1" applyFont="1"/>
    <xf numFmtId="0" fontId="19" fillId="0" borderId="0" xfId="0" applyFont="1"/>
    <xf numFmtId="171" fontId="16" fillId="0" borderId="0" xfId="14" applyNumberFormat="1" applyFont="1" applyAlignment="1">
      <alignment horizontal="left"/>
    </xf>
    <xf numFmtId="0" fontId="16" fillId="0" borderId="0" xfId="14" applyFont="1"/>
    <xf numFmtId="170" fontId="16" fillId="0" borderId="0" xfId="14" applyNumberFormat="1" applyFont="1"/>
    <xf numFmtId="1" fontId="16" fillId="0" borderId="0" xfId="14" applyNumberFormat="1" applyFont="1" applyAlignment="1">
      <alignment horizontal="left"/>
    </xf>
    <xf numFmtId="169" fontId="16" fillId="0" borderId="0" xfId="14" applyNumberFormat="1" applyFont="1" applyAlignment="1">
      <alignment horizontal="left"/>
    </xf>
    <xf numFmtId="173" fontId="16" fillId="0" borderId="0" xfId="14" applyNumberFormat="1" applyFont="1" applyAlignment="1">
      <alignment horizontal="left"/>
    </xf>
    <xf numFmtId="0" fontId="16" fillId="0" borderId="0" xfId="14" applyFont="1" applyAlignment="1">
      <alignment horizontal="left"/>
    </xf>
    <xf numFmtId="168" fontId="16" fillId="0" borderId="0" xfId="14" applyNumberFormat="1" applyFont="1" applyAlignment="1">
      <alignment horizontal="left"/>
    </xf>
    <xf numFmtId="0" fontId="21" fillId="11" borderId="0" xfId="19" applyFont="1" applyFill="1" applyAlignment="1"/>
    <xf numFmtId="0" fontId="22" fillId="11" borderId="0" xfId="15" applyFont="1" applyFill="1"/>
    <xf numFmtId="0" fontId="23" fillId="11" borderId="0" xfId="13" applyFont="1" applyFill="1" applyAlignment="1">
      <alignment vertical="top"/>
    </xf>
    <xf numFmtId="0" fontId="23" fillId="11" borderId="0" xfId="13" applyFont="1" applyFill="1"/>
    <xf numFmtId="171" fontId="21" fillId="11" borderId="0" xfId="14" applyNumberFormat="1" applyFont="1" applyFill="1" applyAlignment="1">
      <alignment horizontal="center"/>
    </xf>
    <xf numFmtId="2" fontId="23" fillId="11" borderId="0" xfId="13" applyNumberFormat="1" applyFont="1" applyFill="1" applyAlignment="1">
      <alignment horizontal="center"/>
    </xf>
    <xf numFmtId="10" fontId="23" fillId="11" borderId="0" xfId="13" applyNumberFormat="1" applyFont="1" applyFill="1" applyAlignment="1">
      <alignment horizontal="center"/>
    </xf>
    <xf numFmtId="0" fontId="24" fillId="0" borderId="0" xfId="0" applyFont="1"/>
    <xf numFmtId="0" fontId="16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0" fontId="16" fillId="0" borderId="0" xfId="14" applyNumberFormat="1" applyFont="1" applyAlignment="1"/>
    <xf numFmtId="171" fontId="16" fillId="0" borderId="0" xfId="14" applyNumberFormat="1" applyFont="1" applyAlignment="1"/>
    <xf numFmtId="0" fontId="15" fillId="12" borderId="2" xfId="20" applyFont="1" applyFill="1" applyBorder="1" applyAlignment="1">
      <alignment horizontal="center" vertical="center"/>
    </xf>
    <xf numFmtId="0" fontId="20" fillId="0" borderId="0" xfId="0" applyFont="1"/>
    <xf numFmtId="171" fontId="16" fillId="0" borderId="2" xfId="20" applyNumberFormat="1" applyFont="1" applyBorder="1" applyAlignment="1">
      <alignment horizontal="center" vertical="center"/>
    </xf>
    <xf numFmtId="0" fontId="18" fillId="0" borderId="0" xfId="19" applyFont="1" applyFill="1" applyAlignment="1"/>
    <xf numFmtId="0" fontId="17" fillId="0" borderId="0" xfId="14" applyFont="1"/>
    <xf numFmtId="0" fontId="23" fillId="11" borderId="0" xfId="13" applyFont="1" applyFill="1" applyAlignment="1">
      <alignment horizontal="center"/>
    </xf>
    <xf numFmtId="0" fontId="16" fillId="0" borderId="0" xfId="14" applyNumberFormat="1" applyFont="1" applyAlignment="1">
      <alignment horizontal="center"/>
    </xf>
    <xf numFmtId="171" fontId="16" fillId="0" borderId="0" xfId="14" applyNumberFormat="1" applyFont="1" applyAlignment="1">
      <alignment horizontal="center"/>
    </xf>
    <xf numFmtId="171" fontId="16" fillId="0" borderId="0" xfId="20" applyNumberFormat="1" applyFont="1" applyAlignment="1">
      <alignment horizontal="center" vertical="center"/>
    </xf>
    <xf numFmtId="168" fontId="23" fillId="11" borderId="0" xfId="13" applyNumberFormat="1" applyFont="1" applyFill="1"/>
    <xf numFmtId="168" fontId="21" fillId="11" borderId="0" xfId="19" applyNumberFormat="1" applyFont="1" applyFill="1" applyAlignment="1"/>
    <xf numFmtId="174" fontId="0" fillId="0" borderId="0" xfId="0" applyNumberFormat="1"/>
    <xf numFmtId="174" fontId="1" fillId="9" borderId="1" xfId="0" applyNumberFormat="1" applyFont="1" applyFill="1" applyBorder="1" applyAlignment="1">
      <alignment horizontal="center" wrapText="1"/>
    </xf>
    <xf numFmtId="174" fontId="3" fillId="0" borderId="0" xfId="0" applyNumberFormat="1" applyFont="1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5" fillId="0" borderId="0" xfId="0" applyFont="1"/>
    <xf numFmtId="0" fontId="26" fillId="0" borderId="0" xfId="0" pivotButton="1" applyFont="1"/>
    <xf numFmtId="0" fontId="26" fillId="0" borderId="0" xfId="0" pivotButton="1" applyFont="1" applyAlignment="1">
      <alignment horizontal="center"/>
    </xf>
    <xf numFmtId="168" fontId="3" fillId="0" borderId="0" xfId="0" applyNumberFormat="1" applyFont="1" applyAlignment="1">
      <alignment horizontal="left" wrapText="1"/>
    </xf>
    <xf numFmtId="0" fontId="3" fillId="0" borderId="0" xfId="0" quotePrefix="1" applyFont="1" applyAlignment="1">
      <alignment horizontal="left"/>
    </xf>
    <xf numFmtId="1" fontId="25" fillId="0" borderId="0" xfId="0" applyNumberFormat="1" applyFont="1"/>
    <xf numFmtId="22" fontId="25" fillId="0" borderId="0" xfId="0" applyNumberFormat="1" applyFont="1"/>
  </cellXfs>
  <cellStyles count="2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40% - Accent3" xfId="5" builtinId="39" customBuiltin="1"/>
    <cellStyle name="60% - Accent3" xfId="6" builtinId="40" customBuiltin="1"/>
    <cellStyle name="60% - Accent4" xfId="7" builtinId="44" customBuiltin="1"/>
    <cellStyle name="60% - Accent6" xfId="8" builtinId="52" customBuiltin="1"/>
    <cellStyle name="Comma" xfId="9" builtinId="3" customBuiltin="1"/>
    <cellStyle name="Comma [0]" xfId="10" builtinId="6" customBuiltin="1"/>
    <cellStyle name="Currency" xfId="11" builtinId="4" customBuiltin="1"/>
    <cellStyle name="Currency [0]" xfId="12" builtinId="7" customBuiltin="1"/>
    <cellStyle name="Geotab Report Field Name" xfId="20" xr:uid="{00000000-0005-0000-0000-00000C000000}"/>
    <cellStyle name="Heading" xfId="13" xr:uid="{00000000-0005-0000-0000-00000D000000}"/>
    <cellStyle name="Normal" xfId="0" builtinId="0" customBuiltin="1"/>
    <cellStyle name="Report Body" xfId="14" xr:uid="{00000000-0005-0000-0000-00000F000000}"/>
    <cellStyle name="Report Column Header" xfId="15" xr:uid="{00000000-0005-0000-0000-000010000000}"/>
    <cellStyle name="Report Creation DateTime" xfId="16" xr:uid="{00000000-0005-0000-0000-000011000000}"/>
    <cellStyle name="Report Field Name" xfId="17" xr:uid="{00000000-0005-0000-0000-000012000000}"/>
    <cellStyle name="Report Name" xfId="18" xr:uid="{00000000-0005-0000-0000-000013000000}"/>
    <cellStyle name="StandardReportHeading" xfId="19" xr:uid="{00000000-0005-0000-0000-000014000000}"/>
  </cellStyles>
  <dxfs count="5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ill>
        <patternFill>
          <bgColor rgb="FFFFDEA3"/>
        </patternFill>
      </fill>
    </dxf>
    <dxf>
      <fill>
        <patternFill>
          <bgColor rgb="FFBDFFBD"/>
        </patternFill>
      </fill>
    </dxf>
    <dxf>
      <fill>
        <patternFill>
          <bgColor rgb="FFFFAAAA"/>
        </patternFill>
      </fill>
    </dxf>
    <dxf>
      <fill>
        <patternFill>
          <bgColor theme="2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2"/>
        </patternFill>
      </fill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5" tint="0.39997558519241921"/>
        </bottom>
      </border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5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5" tint="0.39997558519241921"/>
        </bottom>
      </border>
    </dxf>
    <dxf>
      <font>
        <color theme="1"/>
      </font>
    </dxf>
    <dxf>
      <font>
        <b/>
        <i val="0"/>
        <color theme="1"/>
      </font>
      <fill>
        <patternFill>
          <bgColor theme="0" tint="-4.9989318521683403E-2"/>
        </patternFill>
      </fill>
      <border>
        <top style="thin">
          <color theme="5"/>
        </top>
        <bottom style="thin">
          <color theme="5"/>
        </bottom>
      </border>
    </dxf>
    <dxf>
      <font>
        <color theme="1"/>
      </font>
      <fill>
        <patternFill patternType="solid">
          <fgColor theme="0" tint="-0.14993743705557422"/>
          <bgColor theme="0" tint="-4.9989318521683403E-2"/>
        </patternFill>
      </fill>
    </dxf>
    <dxf>
      <fill>
        <patternFill patternType="solid">
          <fgColor theme="0" tint="-0.14990691854609822"/>
          <bgColor theme="0" tint="-4.9989318521683403E-2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>
          <fgColor theme="8"/>
          <bgColor theme="8"/>
        </patternFill>
      </fill>
    </dxf>
    <dxf>
      <font>
        <b/>
        <i val="0"/>
        <color theme="1"/>
      </font>
      <fill>
        <patternFill patternType="solid">
          <fgColor theme="5" tint="0.79985961485641044"/>
          <bgColor theme="0" tint="-4.9989318521683403E-2"/>
        </patternFill>
      </fill>
      <border>
        <top style="thin">
          <color theme="5" tint="0.39997558519241921"/>
        </top>
      </border>
    </dxf>
    <dxf>
      <font>
        <b/>
        <i val="0"/>
        <color theme="1"/>
      </font>
      <fill>
        <patternFill patternType="solid">
          <fgColor theme="5" tint="0.79989013336588644"/>
          <bgColor theme="0" tint="-4.9989318521683403E-2"/>
        </patternFill>
      </fill>
      <border>
        <bottom style="thin">
          <color theme="5" tint="0.39997558519241921"/>
        </bottom>
      </border>
    </dxf>
    <dxf>
      <font>
        <color theme="3"/>
      </font>
    </dxf>
  </dxfs>
  <tableStyles count="2" defaultTableStyle="TableStyleMedium9" defaultPivotStyle="PivotStyleLightCustom 2">
    <tableStyle name="PivotStyleLightCustom" table="0" count="12" xr9:uid="{00000000-0011-0000-FFFF-FFFF00000000}">
      <tableStyleElement type="wholeTable" dxfId="53"/>
      <tableStyleElement type="headerRow" dxfId="52"/>
      <tableStyleElement type="totalRow" dxfId="51"/>
      <tableStyleElement type="secondRowStripe" dxfId="50"/>
      <tableStyleElement type="firstColumnStripe" dxfId="49"/>
      <tableStyleElement type="firstSubtotalColumn" dxfId="48"/>
      <tableStyleElement type="firstSubtotalRow" dxfId="47"/>
      <tableStyleElement type="secondSubtotalRow" dxfId="46"/>
      <tableStyleElement type="firstRowSubheading" dxfId="45"/>
      <tableStyleElement type="secondRowSubheading" dxfId="44"/>
      <tableStyleElement type="pageFieldLabels" dxfId="43"/>
      <tableStyleElement type="pageFieldValues" dxfId="42"/>
    </tableStyle>
    <tableStyle name="PivotStyleLightCustom 2" table="0" count="3" xr9:uid="{00000000-0011-0000-FFFF-FFFF01000000}">
      <tableStyleElement type="headerRow" dxfId="41"/>
      <tableStyleElement type="firstRowStripe" dxfId="40"/>
      <tableStyleElement type="secondRowStripe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YSTEM" refreshedDate="45975.321382523151" missingItemsLimit="0" createdVersion="4" refreshedVersion="7" recordCount="133" xr:uid="{00000000-000A-0000-FFFF-FFFF0E000000}">
  <cacheSource type="worksheet">
    <worksheetSource name="AllData"/>
  </cacheSource>
  <cacheFields count="28">
    <cacheField name="Device" numFmtId="0">
      <sharedItems count="133">
        <s v="1"/>
        <s v="103"/>
        <s v="1080"/>
        <s v="1081"/>
        <s v="111"/>
        <s v="1141"/>
        <s v="122"/>
        <s v="123"/>
        <s v="124"/>
        <s v="128"/>
        <s v="129"/>
        <s v="130"/>
        <s v="1304"/>
        <s v="132"/>
        <s v="133"/>
        <s v="134"/>
        <s v="137"/>
        <s v="138"/>
        <s v="139"/>
        <s v="140"/>
        <s v="141"/>
        <s v="142"/>
        <s v="143"/>
        <s v="144"/>
        <s v="146"/>
        <s v="200"/>
        <s v="202"/>
        <s v="203"/>
        <s v="204"/>
        <s v="206"/>
        <s v="207"/>
        <s v="208"/>
        <s v="209"/>
        <s v="210"/>
        <s v="3414"/>
        <s v="3418"/>
        <s v="3420"/>
        <s v="3421"/>
        <s v="3422"/>
        <s v="445"/>
        <s v="448"/>
        <s v="463"/>
        <s v="465"/>
        <s v="470"/>
        <s v="471"/>
        <s v="476"/>
        <s v="486"/>
        <s v="487"/>
        <s v="488"/>
        <s v="489"/>
        <s v="490"/>
        <s v="491"/>
        <s v="492"/>
        <s v="493"/>
        <s v="494"/>
        <s v="495"/>
        <s v="496"/>
        <s v="499"/>
        <s v="500"/>
        <s v="501"/>
        <s v="502"/>
        <s v="503"/>
        <s v="505"/>
        <s v="508"/>
        <s v="509"/>
        <s v="510"/>
        <s v="511"/>
        <s v="512"/>
        <s v="513"/>
        <s v="514"/>
        <s v="515"/>
        <s v="516"/>
        <s v="517"/>
        <s v="518"/>
        <s v="519"/>
        <s v="520"/>
        <s v="521"/>
        <s v="522"/>
        <s v="523"/>
        <s v="524"/>
        <s v="525"/>
        <s v="526"/>
        <s v="527"/>
        <s v="528"/>
        <s v="530"/>
        <s v="531"/>
        <s v="532"/>
        <s v="533"/>
        <s v="534"/>
        <s v="535"/>
        <s v="536"/>
        <s v="537"/>
        <s v="538"/>
        <s v="539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601"/>
        <s v="602"/>
        <s v="603"/>
        <s v="607"/>
        <s v="608"/>
        <s v="609"/>
        <s v="610"/>
        <s v="611"/>
        <s v="612"/>
        <s v="613"/>
        <s v="615"/>
        <s v="616"/>
        <s v="700"/>
        <s v="701"/>
        <s v="702"/>
        <s v="703"/>
        <s v="879"/>
        <s v="Battery Powered Asset Tracker"/>
        <s v="Faulty Unit - ex 610"/>
        <s v="Hired Excavator"/>
        <s v="Hired Loader"/>
        <s v="Hired Roller"/>
        <s v="Hired Telehandler"/>
        <s v="Hired Truck"/>
      </sharedItems>
    </cacheField>
    <cacheField name="Device Group" numFmtId="0">
      <sharedItems count="45">
        <s v="Vehicle, EV/Other Management"/>
        <s v="Digger, Excavator/Tradestaff, Machines, Trade Staff"/>
        <s v="Generator, Generator/Trade Staff, Trade Staff"/>
        <s v="Digger, Battery Electric Vehicle, Excavator/Tradestaff, Machines"/>
        <s v="Digger, Diesel, Excavator/Tradestaff, Machines, Trade Staff"/>
        <s v="Pump, Pump/Trade Staff, Trade Staff"/>
        <s v="Electric Vehicles, Battery Electric Vehicle, Fuel Cell Electric Vehicle, Manually Classified Powertrain, Excavator/Tradestaff, Machines"/>
        <s v="Loader, Loader/Trade Staff, Machines"/>
        <s v="Loader, Loader/Trade Staff, Machines, Trade Staff"/>
        <s v="Loader, Loader/Trade Staff"/>
        <s v="Loader, Machines, Telehandler/Trade Staff, Trade Staff"/>
        <s v="Loader, Diesel, Loader/Trade Staff, Machines, Trade Staff"/>
        <s v="Heavy Diesel Vehicles, HDV/Trade Staff, Machines, Trade Staff"/>
        <s v="Roller, Machines, Roller/Trade Staff, Trade Staff"/>
        <s v="Grader, Grader/Trade Staff, Machines, Trade Staff"/>
        <s v="Light Diesel Vehicles, LDV/Trade Staff, Trade Staff"/>
        <s v="Light Diesel Vehicles, Diesel, LDV/Trade Staff, Trade Staff"/>
        <s v="Light Diesel Vehicles, LDV/PE, PE"/>
        <s v="Light Diesel Vehicles, Diesel, LDV/Other Management, Other Management"/>
        <s v="Light Diesel Vehicles, Diesel, LDV/Supervisor, Supervisor"/>
        <s v="Light Diesel Vehicles, Diesel, LDV/PM, PM"/>
        <s v="Light Diesel Vehicles, Diesel, LDV/PE, PE"/>
        <s v="Light Petrol Vehicles, Gasoline or Petrol, LPV/PM, Other Management"/>
        <s v="Light Diesel Vehicles, LDV/Other Management, Other Management"/>
        <s v="Light Diesel Vehicles, Diesel, LDV/PE, Other Management"/>
        <s v="Electric Vehicles, Battery Electric Vehicle, BYD, EV/PE, PE"/>
        <s v="Electric Vehicles, Battery Electric Vehicle, BYD, EV/Other Management, Other Management"/>
        <s v="Electric Vehicles, Battery Electric Vehicle, EV/Other Management, Other Management"/>
        <s v="Electric Vehicles, Battery Electric Vehicle, EV/PM, PM"/>
        <s v="Electric Vehicles, Battery Electric Vehicle, EV/PE"/>
        <s v="Light Petrol Vehicles, Gasoline or Petrol, BYD, LPV/PM, Other Management"/>
        <s v="Light Petrol Vehicles, Gasoline or Petrol, LPV/PM, PM"/>
        <s v="Electric Vehicles, Battery Electric Vehicle"/>
        <s v="Light Diesel Vehicles, Diesel, LDV/PE"/>
        <s v="Light Petrol Vehicles, Gasoline or Petrol, LPV/PM"/>
        <s v="Electric Vehicles, BYD, EV/Other Management"/>
        <s v="Light Petrol Vehicles, Gasoline or Petrol"/>
        <s v="Heavy Diesel Vehicles, HDV/Trade Staff, Trade Staff"/>
        <s v="Heavy Diesel Vehicles, Diesel, HDV/Trade Staff, Trade Staff"/>
        <s v="Heavy Diesel Vehicles, Trade Staff"/>
        <s v="Roller, Roller/Trade Staff, Trade Staff"/>
        <s v="Generator"/>
        <s v="Digger, Excavator/Tradestaff, Trade Staff"/>
        <s v="Loader, Loader/Trade Staff, Trade Staff"/>
        <s v="Loader, Telehandler/Trade Staff, Trade Staff"/>
      </sharedItems>
    </cacheField>
    <cacheField name="Device ID" numFmtId="0">
      <sharedItems/>
    </cacheField>
    <cacheField name="First Name" numFmtId="0">
      <sharedItems containsMixedTypes="1" containsNumber="1" containsInteger="1" minValue="0" maxValue="0"/>
    </cacheField>
    <cacheField name="Last Name" numFmtId="0">
      <sharedItems containsMixedTypes="1" containsNumber="1" containsInteger="1" minValue="0" maxValue="0"/>
    </cacheField>
    <cacheField name="Current Driver" numFmtId="0">
      <sharedItems containsMixedTypes="1" containsNumber="1" containsInteger="1" minValue="0" maxValue="0"/>
    </cacheField>
    <cacheField name="Work time" numFmtId="0">
      <sharedItems/>
    </cacheField>
    <cacheField name="Current Activity" numFmtId="0">
      <sharedItems containsMixedTypes="1" containsNumber="1" containsInteger="1" minValue="0" maxValue="0"/>
    </cacheField>
    <cacheField name="In Privacy Mode" numFmtId="0">
      <sharedItems/>
    </cacheField>
    <cacheField name="Last Stop Address" numFmtId="170">
      <sharedItems containsMixedTypes="1" containsNumber="1" containsInteger="1" minValue="0" maxValue="0"/>
    </cacheField>
    <cacheField name="Last Stop Zone Types" numFmtId="170">
      <sharedItems containsMixedTypes="1" containsNumber="1" containsInteger="1" minValue="0" maxValue="0"/>
    </cacheField>
    <cacheField name="Current Odometer" numFmtId="1">
      <sharedItems containsSemiMixedTypes="0" containsString="0" containsNumber="1" minValue="0" maxValue="508232.5625" count="121">
        <n v="0"/>
        <n v="283.65957641601563"/>
        <n v="153.15072631835938"/>
        <n v="398.49600219726563"/>
        <n v="41.567630767822266"/>
        <n v="229.87763977050781"/>
        <n v="265.51220703125"/>
        <n v="244.47006225585938"/>
        <n v="549.59197998046875"/>
        <n v="132.82075500488281"/>
        <n v="307.37078857421875"/>
        <n v="353.31463623046875"/>
        <n v="361.92507934570313"/>
        <n v="218.27239990234375"/>
        <n v="201.37394714355469"/>
        <n v="10.799478530883789"/>
        <n v="1909.9971923828125"/>
        <n v="584.02374267578125"/>
        <n v="439.5015869140625"/>
        <n v="494.29266357421875"/>
        <n v="11.266311645507813"/>
        <n v="1218.7342529296875"/>
        <n v="33.721221923828125"/>
        <n v="1046.334228515625"/>
        <n v="577.3826904296875"/>
        <n v="1619.086181640625"/>
        <n v="102.41561126708984"/>
        <n v="525.92376708984375"/>
        <n v="513.3499755859375"/>
        <n v="171325.34375"/>
        <n v="3.8896903395652771E-2"/>
        <n v="50.015720367431641"/>
        <n v="60.835777282714844"/>
        <n v="194.314697265625"/>
        <n v="351607.65625"/>
        <n v="271311.46875"/>
        <n v="273285.25"/>
        <n v="291364"/>
        <n v="320214.78125"/>
        <n v="324297.03125"/>
        <n v="390382.40625"/>
        <n v="283860"/>
        <n v="203129.359375"/>
        <n v="200641"/>
        <n v="245581"/>
        <n v="234892"/>
        <n v="232234.21875"/>
        <n v="214811"/>
        <n v="241564"/>
        <n v="342511"/>
        <n v="260095"/>
        <n v="307523.03125"/>
        <n v="216087"/>
        <n v="313710"/>
        <n v="191253"/>
        <n v="222856"/>
        <n v="226992"/>
        <n v="227499.015625"/>
        <n v="307822.78125"/>
        <n v="135374"/>
        <n v="139270"/>
        <n v="210375"/>
        <n v="224995"/>
        <n v="169380"/>
        <n v="151222"/>
        <n v="143570"/>
        <n v="102142"/>
        <n v="99256.8984375"/>
        <n v="108708.203125"/>
        <n v="141324.59375"/>
        <n v="120308"/>
        <n v="153736.59375"/>
        <n v="96140.203125"/>
        <n v="95485.5"/>
        <n v="96237.296875"/>
        <n v="138673.40625"/>
        <n v="95277.8984375"/>
        <n v="97587.3984375"/>
        <n v="89151.796875"/>
        <n v="151185"/>
        <n v="320792.59375"/>
        <n v="49620.27734375"/>
        <n v="28001.48046875"/>
        <n v="32160"/>
        <n v="46490.80078125"/>
        <n v="71890.3984375"/>
        <n v="57550"/>
        <n v="69006.5"/>
        <n v="42092.5"/>
        <n v="50947.1015625"/>
        <n v="71307.6015625"/>
        <n v="44203.80078125"/>
        <n v="26803.47265625"/>
        <n v="47477.80078125"/>
        <n v="18931.236328125"/>
        <n v="29063"/>
        <n v="8705"/>
        <n v="22861"/>
        <n v="33038.6015625"/>
        <n v="19603.599609375"/>
        <n v="8934.7998046875"/>
        <n v="5671"/>
        <n v="3028.10009765625"/>
        <n v="1667"/>
        <n v="508232.5625"/>
        <n v="280849.34375"/>
        <n v="240576.546875"/>
        <n v="299014.1875"/>
        <n v="95072.015625"/>
        <n v="34695.1640625"/>
        <n v="179238.03125"/>
        <n v="41281.43359375"/>
        <n v="47328.6015625"/>
        <n v="73874.515625"/>
        <n v="82899.3984375"/>
        <n v="54446.33984375"/>
        <n v="125.47755432128906"/>
        <n v="1.541485071182251"/>
        <n v="77.326133728027344"/>
        <n v="12.855100631713867"/>
        <n v="178227.3125"/>
      </sharedItems>
    </cacheField>
    <cacheField name="Current Engine Hours" numFmtId="169">
      <sharedItems containsSemiMixedTypes="0" containsNonDate="0" containsDate="1" containsString="0" minDate="1899-12-30T00:00:00" maxDate="1901-06-05T10:39:59"/>
    </cacheField>
    <cacheField name="Active from" numFmtId="173">
      <sharedItems containsSemiMixedTypes="0" containsNonDate="0" containsDate="1" containsString="0" minDate="2024-09-03T13:58:41" maxDate="2025-10-29T13:30:25" count="133">
        <d v="2025-10-18T21:26:29"/>
        <d v="2025-05-05T19:41:40"/>
        <d v="2025-09-29T10:31:40"/>
        <d v="2025-09-29T10:33:17"/>
        <d v="2025-07-04T09:45:00"/>
        <d v="2025-09-29T10:34:17"/>
        <d v="2025-05-05T19:48:08"/>
        <d v="2025-05-05T20:01:52"/>
        <d v="2025-05-05T20:01:12"/>
        <d v="2025-05-05T20:01:31"/>
        <d v="2025-05-05T20:00:49"/>
        <d v="2025-05-05T20:02:12"/>
        <d v="2025-09-29T10:35:57"/>
        <d v="2025-05-05T20:02:30"/>
        <d v="2025-05-05T20:02:52"/>
        <d v="2025-05-05T20:03:11"/>
        <d v="2025-05-05T20:03:55"/>
        <d v="2025-05-05T20:04:31"/>
        <d v="2025-05-05T20:05:24"/>
        <d v="2025-05-05T20:07:50"/>
        <d v="2025-05-05T20:08:37"/>
        <d v="2025-07-04T09:45:42"/>
        <d v="2025-05-05T20:00:22"/>
        <d v="2025-05-05T20:11:33"/>
        <d v="2025-03-08T11:20:40"/>
        <d v="2025-06-18T10:50:44"/>
        <d v="2025-05-05T20:12:35"/>
        <d v="2025-05-05T20:13:18"/>
        <d v="2025-10-29T13:30:25"/>
        <d v="2025-05-05T20:14:07"/>
        <d v="2025-05-05T20:14:56"/>
        <d v="2025-07-23T14:50:56"/>
        <d v="2025-05-05T20:18:17"/>
        <d v="2025-08-26T15:59:06"/>
        <d v="2025-05-05T23:00:04"/>
        <d v="2025-05-05T20:24:13"/>
        <d v="2025-05-05T20:25:08"/>
        <d v="2025-05-05T20:25:59"/>
        <d v="2025-05-05T20:29:08"/>
        <d v="2025-03-07T10:26:04"/>
        <d v="2025-02-23T21:38:07"/>
        <d v="2025-03-18T14:23:12"/>
        <d v="2025-03-08T15:50:52"/>
        <d v="2025-05-05T22:40:23"/>
        <d v="2025-03-08T11:42:43"/>
        <d v="2025-03-08T11:34:40"/>
        <d v="2025-05-05T22:41:22"/>
        <d v="2025-03-08T11:21:40"/>
        <d v="2025-02-23T21:35:54"/>
        <d v="2025-05-05T22:42:04"/>
        <d v="2025-02-23T21:32:24"/>
        <d v="2025-03-08T11:15:19"/>
        <d v="2025-03-14T12:23:55"/>
        <d v="2025-02-23T21:48:30"/>
        <d v="2025-05-30T02:45:34"/>
        <d v="2025-03-05T23:09:42"/>
        <d v="2025-02-23T21:46:00"/>
        <d v="2025-05-05T22:42:49"/>
        <d v="2025-03-08T11:12:57"/>
        <d v="2025-03-08T11:40:15"/>
        <d v="2025-03-18T13:29:29"/>
        <d v="2025-05-05T22:43:49"/>
        <d v="2025-03-08T11:39:10"/>
        <d v="2025-05-30T13:30:33"/>
        <d v="2025-05-05T22:44:31"/>
        <d v="2025-05-05T22:45:10"/>
        <d v="2025-05-05T22:45:49"/>
        <d v="2025-05-05T22:47:18"/>
        <d v="2025-05-05T22:48:09"/>
        <d v="2025-02-23T21:47:48"/>
        <d v="2025-05-05T22:49:05"/>
        <d v="2025-02-23T21:35:11"/>
        <d v="2025-02-24T12:18:49"/>
        <d v="2025-02-23T21:49:21"/>
        <d v="2025-02-05T15:38:51"/>
        <d v="2025-05-28T12:28:02"/>
        <d v="2025-02-24T12:17:26"/>
        <d v="2025-05-05T22:49:46"/>
        <d v="2025-02-23T21:42:56"/>
        <d v="2025-03-05T23:13:49"/>
        <d v="2025-05-30T13:29:49"/>
        <d v="2025-05-05T22:50:28"/>
        <d v="2025-05-05T22:51:38"/>
        <d v="2025-05-05T22:52:23"/>
        <d v="2025-02-28T11:34:49"/>
        <d v="2025-05-30T13:29:21"/>
        <d v="2025-05-05T22:53:00"/>
        <d v="2024-09-03T13:58:41"/>
        <d v="2025-05-05T22:36:02"/>
        <d v="2025-05-05T22:54:13"/>
        <d v="2025-03-04T23:01:46"/>
        <d v="2025-03-07T10:38:26"/>
        <d v="2025-03-08T11:40:55"/>
        <d v="2025-03-08T11:30:07"/>
        <d v="2025-03-06T11:04:30"/>
        <d v="2025-05-05T22:53:35"/>
        <d v="2025-02-23T21:45:03"/>
        <d v="2025-02-23T23:39:39"/>
        <d v="2025-02-23T21:40:50"/>
        <d v="2025-05-05T22:55:37"/>
        <d v="2025-03-21T23:39:50"/>
        <d v="2025-03-21T23:40:28"/>
        <d v="2025-05-05T22:56:16"/>
        <d v="2025-05-05T23:02:02"/>
        <d v="2025-05-05T23:03:47"/>
        <d v="2025-05-05T23:02:47"/>
        <d v="2025-07-09T09:51:58"/>
        <d v="2025-08-25T23:42:37"/>
        <d v="2025-08-25T23:41:02"/>
        <d v="2025-03-07T13:49:48"/>
        <d v="2025-03-05T23:04:58"/>
        <d v="2025-09-01T15:40:35"/>
        <d v="2025-05-05T22:57:40"/>
        <d v="2025-03-08T11:33:27"/>
        <d v="2025-05-05T22:58:14"/>
        <d v="2025-05-05T22:39:00"/>
        <d v="2025-02-23T21:46:46"/>
        <d v="2025-03-08T11:28:56"/>
        <d v="2025-05-05T22:58:47"/>
        <d v="2025-05-05T22:59:23"/>
        <d v="2025-03-07T11:36:33"/>
        <d v="2025-05-05T20:21:07"/>
        <d v="2025-10-15T00:43:45"/>
        <d v="2025-05-05T20:22:45"/>
        <d v="2025-05-05T20:28:11"/>
        <d v="2025-09-29T10:30:38"/>
        <d v="2025-05-26T22:56:00"/>
        <d v="2025-05-30T13:28:46"/>
        <d v="2025-08-20T10:04:55"/>
        <d v="2025-08-20T10:10:06"/>
        <d v="2025-08-20T10:09:12"/>
        <d v="2025-08-20T10:11:03"/>
        <d v="2025-08-20T10:08:26"/>
      </sharedItems>
    </cacheField>
    <cacheField name="Active to" numFmtId="173">
      <sharedItems containsSemiMixedTypes="0" containsNonDate="0" containsDate="1" containsString="0" minDate="2050-01-01T13:00:00" maxDate="2050-01-01T13:00:00" count="1">
        <d v="2050-01-01T13:00:00"/>
      </sharedItems>
    </cacheField>
    <cacheField name="Is Archived (Historical)" numFmtId="0">
      <sharedItems/>
    </cacheField>
    <cacheField name="Plan" numFmtId="0">
      <sharedItems containsMixedTypes="1" containsNumber="1" containsInteger="1" minValue="0" maxValue="0"/>
    </cacheField>
    <cacheField name="Device Type" numFmtId="0">
      <sharedItems count="3">
        <s v="Version 9"/>
        <s v="None"/>
        <s v="CustomVehicleDevice"/>
      </sharedItems>
    </cacheField>
    <cacheField name="Firmware Version" numFmtId="0">
      <sharedItems count="13">
        <s v="120.0.0"/>
        <s v="120.42.57"/>
        <s v="-1.."/>
        <s v="120.37.27"/>
        <s v="120.42.55"/>
        <s v="120.45.22"/>
        <s v="120.45.20"/>
        <s v="120.42.59"/>
        <s v="120.45.21"/>
        <s v="120.45.24"/>
        <s v="120.42.56"/>
        <s v="10022.."/>
        <s v="120.42.53"/>
      </sharedItems>
    </cacheField>
    <cacheField name="Serial No." numFmtId="0">
      <sharedItems containsMixedTypes="1" containsNumber="1" containsInteger="1" minValue="0" maxValue="0" count="122">
        <s v="G9W1PJSDBFNV"/>
        <s v="G9JS3X5N41M7"/>
        <n v="0"/>
        <s v="G9RHXM0XNPXP"/>
        <s v="G9071KVMB37P"/>
        <s v="G9F8JM3179FZ"/>
        <s v="G9EKK0KRFU3Y"/>
        <s v="G9USRCKV6BVV"/>
        <s v="G940DTZJ0XM1"/>
        <s v="G9K3YS8BXU3J"/>
        <s v="G98ZPSY1BD3K"/>
        <s v="G9JN6AVZ9WNA"/>
        <s v="G9AXAZ5WJSNC"/>
        <s v="G960M159TRJS"/>
        <s v="G9ZT0W7U7AX9"/>
        <s v="G9KESM7CCB7P"/>
        <s v="G95WT8P1KVE4"/>
        <s v="G97JWZZS6MBT"/>
        <s v="G94CDT2RF5R3"/>
        <s v="G97CJZK7PW0N"/>
        <s v="G9CH5398MV5N"/>
        <s v="G918211C3B1E"/>
        <s v="G9XMUXRXUHFA"/>
        <s v="G9H18PAP17UE"/>
        <s v="G9N7PTSZASUX"/>
        <s v="G9PMT34EV9EP"/>
        <s v="G9VD67CSFR72"/>
        <s v="G9AE0M2U2XW4"/>
        <s v="G9RS70FNPW7W"/>
        <s v="G9S1YZ20ERNN"/>
        <s v="G9R2VNN6AEF6"/>
        <s v="G9SV4TP3K9RH"/>
        <s v="G9WW8A64TCM9"/>
        <s v="G90U7JYD5F1E"/>
        <s v="G9PUXWWAS21S"/>
        <s v="G90B211C4474"/>
        <s v="G9E7F2S8N1US"/>
        <s v="G9C0211BE21A"/>
        <s v="G9B3211A6EE4"/>
        <s v="G9YNXYF3TYU3"/>
        <s v="G92E211C5146"/>
        <s v="G971211C5119"/>
        <s v="G937NNNRPH73"/>
        <s v="G906211C4479"/>
        <s v="G9Z59VY94T2B"/>
        <s v="G9PAT79T3CRK"/>
        <s v="G9D6211A6C83"/>
        <s v="G9AF211BE372"/>
        <s v="G914211C446B"/>
        <s v="G9UT9MD7X25N"/>
        <s v="G9NW0SB5JJT4"/>
        <s v="G9HM80J63H4D"/>
        <s v="G9WVND1NZR5U"/>
        <s v="G9ZR500T12RW"/>
        <s v="G96E211C5005"/>
        <s v="G9FR3C2VRKST"/>
        <s v="G96RNKEN5TRF"/>
        <s v="G9MEUJNUNVNF"/>
        <s v="G9B5211A6EE2"/>
        <s v="G9BYHXDZYTJS"/>
        <s v="G9FU3TR603BC"/>
        <s v="G9H2KS9R6AKS"/>
        <s v="G93WYUWHSU8B"/>
        <s v="G98ZZCXYU1H0"/>
        <s v="G9TS3SP11T1D"/>
        <s v="G97VUAAMVVMW"/>
        <s v="G9WYSR3WK6D0"/>
        <s v="G952211A6C07"/>
        <s v="G920XKB3ZWES"/>
        <s v="G96TN5TW4ZSF"/>
        <s v="G9SN0M1FNC3B"/>
        <s v="G9W8T5W5TJBH"/>
        <s v="G959RDZP1H3W"/>
        <s v="G9317WZB9RM4"/>
        <s v="G9ZF7YU7WDW7"/>
        <s v="G9A3TKXBWJ41"/>
        <s v="G9VWFN34WNKK"/>
        <s v="G9WWXVES7ZVV"/>
        <s v="G933JZ6MV04H"/>
        <s v="G95ZHRRVYTAM"/>
        <s v="G9MZ91R7SWNN"/>
        <s v="G9K1YD6WD4P7"/>
        <s v="G9P2UPYBVE0Y"/>
        <s v="G949VT146DYK"/>
        <s v="G96868U7EAWZ"/>
        <s v="G93VNTJEVMVH"/>
        <s v="G9D22RY888ED"/>
        <s v="G91F211C476D"/>
        <s v="G908211C4477"/>
        <s v="G98E0YZ3A48W"/>
        <s v="G932KFT7H2XV"/>
        <s v="G991HRR5U2MA"/>
        <s v="G9113W9ERJNU"/>
        <s v="G9M0WCRBKFC8"/>
        <s v="G93RP31XZ50R"/>
        <s v="G9894E1HHXR6"/>
        <s v="G90XZ7AP9EJY"/>
        <s v="G9JM2ABSFY81"/>
        <s v="G9AJKJ1K3S69"/>
        <s v="G9VD2462W5YR"/>
        <s v="G9HU6STFR23U"/>
        <s v="G9U6DX7V59F6"/>
        <s v="G9V3CWPS27KR"/>
        <s v="G9KKRFJA0AM6"/>
        <s v="G93E211AE8EF"/>
        <s v="G9PBUFWUJ5VP"/>
        <s v="G9914R3E9E1A"/>
        <s v="G97HC312C19M"/>
        <s v="G971211C5218"/>
        <s v="G9JPYY30146R"/>
        <s v="G90RJP3ABURM"/>
        <s v="G9K2Z7KKHUCV"/>
        <s v="G934211AE8E5"/>
        <s v="G924NZBAUAU0"/>
        <s v="G96YFXY72SWU"/>
        <s v="G969211C5101"/>
        <s v="G9HE94BZVJ4X"/>
        <s v="G9R6TCE4CYA1"/>
        <s v="G95XRDU5A7U0"/>
        <s v="G9S5WV6771TY"/>
        <s v="CN7621ADDA29"/>
        <s v="G943MMVR1HWW"/>
      </sharedItems>
    </cacheField>
    <cacheField name="License Plate" numFmtId="0">
      <sharedItems containsMixedTypes="1" containsNumber="1" containsInteger="1" minValue="0" maxValue="0" count="93">
        <n v="0"/>
        <s v="EUG563"/>
        <s v="DNF822"/>
        <s v="JJL907"/>
        <s v="B9BKT"/>
        <s v="QPW244"/>
        <s v="QEG429"/>
        <s v="QEG430"/>
        <s v="QEG431"/>
        <s v="EKW475"/>
        <s v="EKW476"/>
        <s v="EJG668"/>
        <s v="FDT602"/>
        <s v="GUR891"/>
        <s v="FQC642"/>
        <s v="JBB745"/>
        <s v="FUB380"/>
        <s v="FRM776"/>
        <s v="GBN844"/>
        <s v="LER932"/>
        <s v="LER933"/>
        <s v="LER937"/>
        <s v="LER940"/>
        <s v="LER936"/>
        <s v="LGJ618"/>
        <s v="LKZ964"/>
        <s v="LJJ940"/>
        <s v="GSN851"/>
        <s v="GTH864"/>
        <s v="JYY52"/>
        <s v="LNW704"/>
        <s v="GNA826"/>
        <s v="GPR852"/>
        <s v="MBF560"/>
        <s v="HHS395"/>
        <s v="HQL909"/>
        <s v="JSC564"/>
        <s v="MTZ279"/>
        <s v="MTZ278"/>
        <s v="KCU68"/>
        <s v="HYN614"/>
        <s v="MWR962"/>
        <s v="LFW259"/>
        <s v="NAJ997"/>
        <s v="NHQ894"/>
        <s v="NNM799"/>
        <s v="NQS995"/>
        <s v="NQS996"/>
        <s v="NRJ849"/>
        <s v="NRJ851"/>
        <s v="NSR530"/>
        <s v="NSR531"/>
        <s v="NZF473"/>
        <s v="NZW104"/>
        <s v="NZW118"/>
        <s v="PAP496"/>
        <s v="PCE760"/>
        <s v="MAR717"/>
        <s v="GUJ411"/>
        <s v="QAJ980"/>
        <s v="QAU621"/>
        <s v="QFC57"/>
        <s v="QFC58"/>
        <s v="QFC71"/>
        <s v="QJZ870"/>
        <s v="QJZ871"/>
        <s v="QJZ872"/>
        <s v="QJZ873"/>
        <s v="QJG431"/>
        <s v="QTB354"/>
        <s v="QMT235"/>
        <s v="QMT236"/>
        <s v="QHD437"/>
        <s v="RBL829"/>
        <s v="RBL830"/>
        <s v="RET187"/>
        <s v="RET188"/>
        <s v="RET189"/>
        <s v="RFN414"/>
        <s v="RDQ876"/>
        <s v="PWG214"/>
        <s v="BHR201"/>
        <s v="DYJ738"/>
        <s v="JHU122"/>
        <s v="JHU139"/>
        <s v="JRT503"/>
        <s v="LDM30"/>
        <s v="LWM567"/>
        <s v="MDP124"/>
        <s v="PHE415"/>
        <s v="QFD256"/>
        <s v="KAT765"/>
        <s v="NLA774"/>
      </sharedItems>
    </cacheField>
    <cacheField name="License State/Province" numFmtId="0">
      <sharedItems containsSemiMixedTypes="0" containsString="0" containsNumber="1" containsInteger="1" minValue="0" maxValue="0" count="1">
        <n v="0"/>
      </sharedItems>
    </cacheField>
    <cacheField name="VIN" numFmtId="0">
      <sharedItems containsMixedTypes="1" containsNumber="1" containsInteger="1" minValue="0" maxValue="0" count="79">
        <n v="0"/>
        <s v="JTFST22P500005126"/>
        <s v="JTFST22P100016575"/>
        <s v="MNAUSFE90AW890258"/>
        <s v="MNAUMFF50FW426955"/>
        <s v="MNAUSFE90AW918854"/>
        <s v="MNAUSFE90AW889714"/>
        <s v="MPBUMFF50HX139869"/>
        <s v="MPBUMFF50HX142760"/>
        <s v="MPBUMFF50HX139870"/>
        <s v="MPBUMFF50HX135602"/>
        <s v="MPBUMFF50JX151016"/>
        <s v="MPBUMFF50JX153102"/>
        <s v="MPBUMFF50JX155996"/>
        <s v="MNAUMFF50DW166402"/>
        <s v="MM0UP0YF100136059"/>
        <s v="MNAUM2F50FW416363"/>
        <s v="MPBUMFF50JX172412"/>
        <s v="MM0UP0YF100131547"/>
        <s v="MM0UP0YF100125065"/>
        <s v="MPBUMFF50JX204764"/>
        <s v="MNAUMFF50EW250916"/>
        <s v="MNAUMFF50GW545039"/>
        <s v="MPBUMFF50KX264312"/>
        <s v="MPBUMFF50LX266963"/>
        <s v="MNAUMFF50GW582771"/>
        <s v="MNAUMFF50EW308528"/>
        <s v="MPBUMFF50LX272016"/>
        <s v="MM0UR0YG100819478"/>
        <s v="MPBUMFF50LX278476"/>
        <s v="JTDBB3BE40J034224"/>
        <s v="MPBUMFF60MX340967"/>
        <s v="MNAUMFF60MW168810"/>
        <s v="MNAUMFF60MW168796"/>
        <s v="MNAUMFF60MW170095"/>
        <s v="MNAUMFF60MW170096"/>
        <s v="MNAUMFF60MW176931"/>
        <s v="MNAUMFF60MW176935"/>
        <s v="MR0JA3DD300349509"/>
        <s v="MR0JA3DD300349526"/>
        <s v="MR0JA3DDX00371667"/>
        <s v="MR0JA3DD600349536"/>
        <s v="MR0JA3DD800349571"/>
        <s v="MR0JA3DDX00344484"/>
        <s v="LGXCE4CB9P2039772"/>
        <s v="LGXCE4CB8P2039861"/>
        <s v="LRWYHCFS4PC205476"/>
        <s v="LRWYHCFS5PC205082"/>
        <s v="LRWYHCFS3PC205081"/>
        <s v="MR0JA3DD700352025"/>
        <s v="MR0JA3DD400352032"/>
        <s v="MR0JA3DD300372188"/>
        <s v="MR0JA3DD200352028"/>
        <s v="LRWYHCFS7PC330682"/>
        <s v="MR0KA3CC501181914"/>
        <s v="LRWYHCFS2PC345803"/>
        <s v="LRWYHCFS3PC345793"/>
        <s v="LGXCE4CB9P2133795"/>
        <s v="LPE19W2A6SF058371"/>
        <s v="LPE19W2A4SF058434"/>
        <s v="LRWYHCFS4NC518752"/>
        <s v="MR0JA3DD500354310"/>
        <s v="MR0JA3DD500354307"/>
        <s v="MR0JA3DD700354308"/>
        <s v="LPE19W2A2SF199146"/>
        <s v="LGXCE4CB3S2083615"/>
        <s v="LPE19W2AXSF199153"/>
        <s v="JALCYZ52LD7000110"/>
        <s v="JALFVZ34PE7001285"/>
        <s v="JALFVZ34SE7000210"/>
        <s v="JAANPR75LJ7100427"/>
        <s v="JAANPR75HJ7105429"/>
        <s v="JALCYZ52LF7000576"/>
        <s v="JALCYZ52NN7000006"/>
        <s v="391482"/>
        <s v="1"/>
        <s v="4"/>
        <s v="3"/>
        <s v="2"/>
      </sharedItems>
    </cacheField>
    <cacheField name="Time Zone" numFmtId="0">
      <sharedItems count="2">
        <s v="UTC"/>
        <s v="Pacific/Auckland"/>
      </sharedItems>
    </cacheField>
    <cacheField name="Device Comment" numFmtId="168">
      <sharedItems/>
    </cacheField>
    <cacheField name="Download Status" numFmtId="0">
      <sharedItems containsMixedTypes="1" containsNumber="1" containsInteger="1" minValue="0" maxValue="0"/>
    </cacheField>
    <cacheField name="Last Trip" numFmtId="173">
      <sharedItems containsSemiMixedTypes="0" containsNonDate="0" containsDate="1" containsString="0" minDate="1899-12-30T00:00:00" maxDate="2025-11-14T20:24:44"/>
    </cacheField>
    <cacheField name="Last Communication Date" numFmtId="173">
      <sharedItems containsDate="1" containsMixedTypes="1" minDate="2025-10-02T01:16:39" maxDate="2025-11-14T20:42: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x v="0"/>
    <x v="0"/>
    <s v="b2F2"/>
    <n v="0"/>
    <n v="0"/>
    <n v="0"/>
    <s v="Standard Hours"/>
    <n v="0"/>
    <b v="0"/>
    <n v="0"/>
    <n v="0"/>
    <x v="0"/>
    <d v="1899-12-30T00:00:00"/>
    <x v="0"/>
    <x v="0"/>
    <b v="0"/>
    <s v="Terminate Mode,UI"/>
    <x v="0"/>
    <x v="0"/>
    <x v="0"/>
    <x v="0"/>
    <x v="0"/>
    <x v="0"/>
    <x v="0"/>
    <s v=""/>
    <n v="0"/>
    <d v="1899-12-30T00:00:00"/>
    <s v=""/>
  </r>
  <r>
    <x v="1"/>
    <x v="1"/>
    <s v="b161"/>
    <n v="0"/>
    <n v="0"/>
    <n v="0"/>
    <s v="Standard Hours"/>
    <s v="Stopped"/>
    <b v="0"/>
    <s v="Channel Infrastructure: 41 Mair Road, Marsden Point 0171, New Zealand"/>
    <s v="Project"/>
    <x v="1"/>
    <d v="1900-12-13T07:03:29"/>
    <x v="1"/>
    <x v="0"/>
    <b v="0"/>
    <s v="GO Mode,Garmin,HOS,Iridium,UI"/>
    <x v="0"/>
    <x v="1"/>
    <x v="1"/>
    <x v="1"/>
    <x v="0"/>
    <x v="0"/>
    <x v="1"/>
    <s v="14T Hitachi ZX140W-3 2009"/>
    <s v="OK"/>
    <d v="2025-11-13T13:02:02"/>
    <d v="2025-11-14T20:22:09"/>
  </r>
  <r>
    <x v="2"/>
    <x v="2"/>
    <s v="b2C5"/>
    <n v="0"/>
    <n v="0"/>
    <n v="0"/>
    <s v="Standard Hours"/>
    <n v="0"/>
    <b v="0"/>
    <n v="0"/>
    <n v="0"/>
    <x v="0"/>
    <d v="1899-12-30T00:00:00"/>
    <x v="2"/>
    <x v="0"/>
    <b v="0"/>
    <n v="0"/>
    <x v="1"/>
    <x v="2"/>
    <x v="2"/>
    <x v="0"/>
    <x v="0"/>
    <x v="0"/>
    <x v="0"/>
    <s v="P9 Fox"/>
    <n v="0"/>
    <d v="1899-12-30T00:00:00"/>
    <s v=""/>
  </r>
  <r>
    <x v="3"/>
    <x v="2"/>
    <s v="b2C6"/>
    <n v="0"/>
    <n v="0"/>
    <n v="0"/>
    <s v="Standard Hours"/>
    <n v="0"/>
    <b v="0"/>
    <n v="0"/>
    <n v="0"/>
    <x v="0"/>
    <d v="1901-06-04T13:00:00"/>
    <x v="3"/>
    <x v="0"/>
    <b v="0"/>
    <n v="0"/>
    <x v="1"/>
    <x v="2"/>
    <x v="2"/>
    <x v="0"/>
    <x v="0"/>
    <x v="0"/>
    <x v="0"/>
    <s v="P15 Fox"/>
    <n v="0"/>
    <d v="1899-12-30T00:00:00"/>
    <s v=""/>
  </r>
  <r>
    <x v="4"/>
    <x v="3"/>
    <s v="b176"/>
    <s v="Archie"/>
    <s v="Abellana"/>
    <s v="archie.abellana"/>
    <s v="Standard Hours"/>
    <s v="Stopped"/>
    <b v="0"/>
    <s v="Gillingham Road: 75 Gillingham Road, Te Kamo, Whangārei 0112, New Zealand"/>
    <s v="Project"/>
    <x v="2"/>
    <d v="1900-12-09T12:33:13"/>
    <x v="4"/>
    <x v="0"/>
    <b v="0"/>
    <s v="GO Mode,Garmin,HOS,Iridium,UI"/>
    <x v="0"/>
    <x v="1"/>
    <x v="3"/>
    <x v="0"/>
    <x v="0"/>
    <x v="0"/>
    <x v="1"/>
    <s v="13.5T Hitachi ZX135USLC-3 2012"/>
    <s v="OK"/>
    <d v="2025-11-14T15:48:35"/>
    <d v="2025-11-14T20:21:36"/>
  </r>
  <r>
    <x v="5"/>
    <x v="2"/>
    <s v="b2C7"/>
    <n v="0"/>
    <n v="0"/>
    <n v="0"/>
    <s v="Standard Hours"/>
    <n v="0"/>
    <b v="0"/>
    <n v="0"/>
    <n v="0"/>
    <x v="0"/>
    <d v="1899-12-30T00:00:00"/>
    <x v="5"/>
    <x v="0"/>
    <b v="0"/>
    <n v="0"/>
    <x v="1"/>
    <x v="2"/>
    <x v="2"/>
    <x v="0"/>
    <x v="0"/>
    <x v="0"/>
    <x v="0"/>
    <s v=""/>
    <n v="0"/>
    <d v="1899-12-30T00:00:00"/>
    <s v=""/>
  </r>
  <r>
    <x v="6"/>
    <x v="1"/>
    <s v="b164"/>
    <n v="0"/>
    <n v="0"/>
    <n v="0"/>
    <s v="Standard Hours"/>
    <s v="Stopped"/>
    <b v="0"/>
    <s v="Kaitaia Wastewater: 10 Puckey Avenue, Kaitaia 0410, New Zealand"/>
    <s v="Project"/>
    <x v="3"/>
    <d v="1900-10-03T17:54:00"/>
    <x v="6"/>
    <x v="0"/>
    <b v="0"/>
    <s v="GO Mode,Garmin,HOS,Iridium,UI"/>
    <x v="0"/>
    <x v="1"/>
    <x v="4"/>
    <x v="0"/>
    <x v="0"/>
    <x v="0"/>
    <x v="1"/>
    <s v="5.5T Hitachi ZX55U-5 2014"/>
    <s v="OK"/>
    <d v="2025-11-06T11:40:55"/>
    <d v="2025-11-14T11:15:26"/>
  </r>
  <r>
    <x v="7"/>
    <x v="1"/>
    <s v="b16A"/>
    <n v="0"/>
    <n v="0"/>
    <n v="0"/>
    <s v="Standard Hours"/>
    <s v="Stopped"/>
    <b v="0"/>
    <s v="Channel Infrastructure: 41 Mair Road, Marsden Point 0171, New Zealand"/>
    <s v="Project"/>
    <x v="4"/>
    <d v="1900-05-04T14:41:14"/>
    <x v="7"/>
    <x v="0"/>
    <b v="0"/>
    <s v="GO Mode,Garmin,HOS,Iridium,UI"/>
    <x v="0"/>
    <x v="1"/>
    <x v="5"/>
    <x v="0"/>
    <x v="0"/>
    <x v="0"/>
    <x v="1"/>
    <s v="1.7T Hitachi ZX17U-2 2014"/>
    <s v="OK"/>
    <d v="2025-11-13T13:08:13"/>
    <d v="2025-11-14T20:13:12"/>
  </r>
  <r>
    <x v="8"/>
    <x v="4"/>
    <s v="b166"/>
    <n v="0"/>
    <n v="0"/>
    <n v="0"/>
    <s v="Standard Hours"/>
    <s v="Stopped"/>
    <b v="0"/>
    <s v="Morningside: 65 Morningside Rd, Northland Region 0110, New Zealand"/>
    <s v="Project"/>
    <x v="5"/>
    <d v="1901-01-22T10:48:00"/>
    <x v="8"/>
    <x v="0"/>
    <b v="0"/>
    <s v="GO Mode,Garmin,HOS,Iridium,UI"/>
    <x v="0"/>
    <x v="1"/>
    <x v="6"/>
    <x v="0"/>
    <x v="0"/>
    <x v="0"/>
    <x v="1"/>
    <s v="23.5T Hyundai R235 LCR-9 2014"/>
    <s v="OK"/>
    <d v="2025-11-14T19:42:57"/>
    <d v="2025-11-14T20:14:46"/>
  </r>
  <r>
    <x v="9"/>
    <x v="4"/>
    <s v="b170"/>
    <n v="0"/>
    <n v="0"/>
    <n v="0"/>
    <s v="Standard Hours"/>
    <s v="Stopped"/>
    <b v="0"/>
    <s v="Morningside: 65 Morningside Rd, Northland Region 0110, New Zealand"/>
    <s v="Project"/>
    <x v="6"/>
    <d v="1900-11-17T08:48:00"/>
    <x v="9"/>
    <x v="0"/>
    <b v="0"/>
    <s v="GO Mode,Garmin,HOS,Iridium,UI"/>
    <x v="0"/>
    <x v="1"/>
    <x v="7"/>
    <x v="0"/>
    <x v="0"/>
    <x v="0"/>
    <x v="1"/>
    <s v="23.5T Hyundai R235LCR-9 2016"/>
    <s v="OK"/>
    <d v="2025-11-14T17:48:27"/>
    <d v="2025-11-14T20:20:20"/>
  </r>
  <r>
    <x v="10"/>
    <x v="1"/>
    <s v="b160"/>
    <n v="0"/>
    <n v="0"/>
    <n v="0"/>
    <s v="Standard Hours"/>
    <s v="Stopped"/>
    <b v="0"/>
    <s v="Kaitaia Wastewater: 1 Bonnetts Road, Kaitaia 0410, New Zealand"/>
    <s v="Project"/>
    <x v="7"/>
    <d v="1900-01-05T01:45:29"/>
    <x v="10"/>
    <x v="0"/>
    <b v="0"/>
    <s v="GO Mode,Garmin,HOS,Iridium,UI"/>
    <x v="0"/>
    <x v="1"/>
    <x v="8"/>
    <x v="0"/>
    <x v="0"/>
    <x v="0"/>
    <x v="1"/>
    <s v="1.7T Hyundai R17z-19A 2017"/>
    <s v="OK"/>
    <d v="2025-11-14T08:01:21"/>
    <d v="2025-11-14T20:42:28"/>
  </r>
  <r>
    <x v="11"/>
    <x v="1"/>
    <s v="b16E"/>
    <n v="0"/>
    <n v="0"/>
    <n v="0"/>
    <s v="Standard Hours"/>
    <s v="Stopped"/>
    <b v="0"/>
    <s v="Ngawha: 73B Bannister Road, Ngawha Springs 0472, New Zealand"/>
    <s v="Project"/>
    <x v="8"/>
    <d v="1900-03-28T19:56:11"/>
    <x v="11"/>
    <x v="0"/>
    <b v="0"/>
    <s v="GO Mode,Garmin,HOS,Iridium,UI"/>
    <x v="0"/>
    <x v="1"/>
    <x v="9"/>
    <x v="0"/>
    <x v="0"/>
    <x v="0"/>
    <x v="1"/>
    <s v="1.7T Hyundai R17z-19A 2017"/>
    <s v="OK"/>
    <d v="2025-11-13T13:44:12"/>
    <d v="2025-11-14T20:32:37"/>
  </r>
  <r>
    <x v="12"/>
    <x v="5"/>
    <s v="b2C8"/>
    <n v="0"/>
    <n v="0"/>
    <n v="0"/>
    <s v="Standard Hours"/>
    <n v="0"/>
    <b v="0"/>
    <n v="0"/>
    <n v="0"/>
    <x v="0"/>
    <d v="1899-12-30T00:00:00"/>
    <x v="12"/>
    <x v="0"/>
    <b v="0"/>
    <n v="0"/>
    <x v="1"/>
    <x v="2"/>
    <x v="2"/>
    <x v="0"/>
    <x v="0"/>
    <x v="0"/>
    <x v="0"/>
    <s v="Pump - Vacuum Prime Pumpset BA100K"/>
    <n v="0"/>
    <d v="1899-12-30T00:00:00"/>
    <s v=""/>
  </r>
  <r>
    <x v="13"/>
    <x v="1"/>
    <s v="b178"/>
    <s v="Kymani"/>
    <s v="Paikea"/>
    <s v="kymani.paikea"/>
    <s v="Standard Hours"/>
    <s v="Stopped"/>
    <b v="0"/>
    <s v="Ruakaka Solar Farm Site 2: 34 Mccathie Road, Ruakākā 0171, New Zealand"/>
    <s v="Project"/>
    <x v="9"/>
    <d v="1900-07-26T23:50:02"/>
    <x v="13"/>
    <x v="0"/>
    <b v="0"/>
    <s v="GO Mode,Garmin,HOS,Iridium,UI"/>
    <x v="0"/>
    <x v="1"/>
    <x v="10"/>
    <x v="0"/>
    <x v="0"/>
    <x v="0"/>
    <x v="1"/>
    <s v="8T Hyundai R80CR-9 2018"/>
    <s v="OK"/>
    <d v="2025-11-11T12:19:31"/>
    <d v="2025-11-14T12:24:31"/>
  </r>
  <r>
    <x v="14"/>
    <x v="4"/>
    <s v="b17B"/>
    <n v="0"/>
    <n v="0"/>
    <n v="0"/>
    <s v="Standard Hours"/>
    <s v="Stopped"/>
    <b v="0"/>
    <s v="Kaitaia Wastewater: 4 Bonnetts Road, Kaitaia 0410, New Zealand"/>
    <s v="Project"/>
    <x v="10"/>
    <d v="1900-09-27T03:02:41"/>
    <x v="14"/>
    <x v="0"/>
    <b v="0"/>
    <s v="GO Mode,Garmin,HOS,Iridium,UI"/>
    <x v="0"/>
    <x v="1"/>
    <x v="11"/>
    <x v="0"/>
    <x v="0"/>
    <x v="0"/>
    <x v="1"/>
    <s v="22.5T Hitachi ZX225 USLC-5 2018"/>
    <s v="OK"/>
    <d v="2025-11-14T15:06:06"/>
    <d v="2025-11-14T20:38:42"/>
  </r>
  <r>
    <x v="15"/>
    <x v="1"/>
    <s v="b179"/>
    <n v="0"/>
    <n v="0"/>
    <n v="0"/>
    <s v="Standard Hours"/>
    <s v="Stopped"/>
    <b v="0"/>
    <s v="Kaikohe Work Area: 39 Bisset Road, Kaikohe 0405, New Zealand"/>
    <s v="Project"/>
    <x v="11"/>
    <d v="1900-07-07T15:46:24"/>
    <x v="15"/>
    <x v="0"/>
    <b v="0"/>
    <s v="GO Mode,Garmin,HOS,Iridium,UI"/>
    <x v="0"/>
    <x v="1"/>
    <x v="12"/>
    <x v="0"/>
    <x v="0"/>
    <x v="0"/>
    <x v="1"/>
    <s v="14.5T Hyundai R145CRD-9 2018"/>
    <s v="OK"/>
    <d v="2025-11-14T15:29:51"/>
    <d v="2025-11-14T20:31:34"/>
  </r>
  <r>
    <x v="16"/>
    <x v="1"/>
    <s v="b173"/>
    <n v="0"/>
    <n v="0"/>
    <n v="0"/>
    <s v="Standard Hours"/>
    <s v="Stopped"/>
    <b v="0"/>
    <s v="Kaikohe: 91 Mangakahia Road, Kaikohe 0474, New Zealand"/>
    <s v="Project"/>
    <x v="12"/>
    <d v="1900-04-19T06:06:00"/>
    <x v="16"/>
    <x v="0"/>
    <b v="0"/>
    <s v="GO Mode,Garmin,HOS,Iridium,UI"/>
    <x v="0"/>
    <x v="1"/>
    <x v="13"/>
    <x v="0"/>
    <x v="0"/>
    <x v="0"/>
    <x v="1"/>
    <s v="6T Hitachi ZX65USB-5A 2018"/>
    <s v="OK"/>
    <d v="2025-11-14T11:06:36"/>
    <d v="2025-11-14T20:38:16"/>
  </r>
  <r>
    <x v="17"/>
    <x v="4"/>
    <s v="b16B"/>
    <n v="0"/>
    <n v="0"/>
    <n v="0"/>
    <s v="Standard Hours"/>
    <s v="Stopped"/>
    <b v="0"/>
    <s v="Morningside: 60 Morningside Road, Morningside, Whangārei 0110, New Zealand"/>
    <s v="Project"/>
    <x v="13"/>
    <d v="1900-07-07T15:41:44"/>
    <x v="17"/>
    <x v="0"/>
    <b v="0"/>
    <s v="GO Mode,Garmin,HOS,Iridium,UI"/>
    <x v="0"/>
    <x v="1"/>
    <x v="14"/>
    <x v="0"/>
    <x v="0"/>
    <x v="0"/>
    <x v="1"/>
    <s v="13.5T Hitachi ZX135US-5B 2019"/>
    <s v="OK"/>
    <d v="2025-11-12T07:55:48"/>
    <d v="2025-11-14T20:28:30"/>
  </r>
  <r>
    <x v="18"/>
    <x v="4"/>
    <s v="b17A"/>
    <n v="0"/>
    <n v="0"/>
    <n v="0"/>
    <s v="Standard Hours"/>
    <s v="Stopped"/>
    <b v="0"/>
    <s v="Kaitaia Wastewater: 5 Eden Terrace, Kaitaia 0410, New Zealand"/>
    <s v="Project"/>
    <x v="14"/>
    <d v="1900-04-12T03:08:24"/>
    <x v="18"/>
    <x v="0"/>
    <b v="0"/>
    <s v="GO Mode,Garmin,HOS,Iridium,UI"/>
    <x v="0"/>
    <x v="1"/>
    <x v="15"/>
    <x v="0"/>
    <x v="0"/>
    <x v="0"/>
    <x v="1"/>
    <s v="13.5T Hitachi ZX135US-5B 2022"/>
    <s v="OK"/>
    <d v="2025-11-13T15:42:51"/>
    <d v="2025-11-14T20:14:56"/>
  </r>
  <r>
    <x v="19"/>
    <x v="1"/>
    <s v="b165"/>
    <n v="0"/>
    <n v="0"/>
    <n v="0"/>
    <s v="Standard Hours"/>
    <s v="Stopped"/>
    <b v="0"/>
    <s v="Channel Infrastructure: Timber Trail, Northland Region, New Zealand"/>
    <s v="Project"/>
    <x v="15"/>
    <d v="1900-02-20T13:08:42"/>
    <x v="19"/>
    <x v="0"/>
    <b v="0"/>
    <s v="GO Mode,Garmin,HOS,Iridium,UI"/>
    <x v="0"/>
    <x v="1"/>
    <x v="16"/>
    <x v="0"/>
    <x v="0"/>
    <x v="0"/>
    <x v="1"/>
    <s v="2.6T Hitachi ZX26U-5A 2022"/>
    <s v="OK"/>
    <d v="2025-11-13T15:11:09"/>
    <d v="2025-11-14T12:00:06"/>
  </r>
  <r>
    <x v="20"/>
    <x v="1"/>
    <s v="b175"/>
    <s v="Paul"/>
    <s v="Travers"/>
    <s v="paul.travers"/>
    <s v="Standard Hours"/>
    <s v="Stopped"/>
    <b v="0"/>
    <s v="Morningside: 80 Morningside Road, Morningside, Whangārei 0110, New Zealand"/>
    <s v="Project"/>
    <x v="16"/>
    <d v="1900-03-30T14:24:00"/>
    <x v="20"/>
    <x v="0"/>
    <b v="0"/>
    <s v="GO Mode,Garmin,HOS,Iridium,UI"/>
    <x v="0"/>
    <x v="1"/>
    <x v="17"/>
    <x v="0"/>
    <x v="0"/>
    <x v="0"/>
    <x v="1"/>
    <s v="6T Hitachi ZX65USB-5A 2022"/>
    <s v="OK"/>
    <d v="2025-11-14T15:25:32"/>
    <d v="2025-11-14T20:34:53"/>
  </r>
  <r>
    <x v="21"/>
    <x v="1"/>
    <s v="b167"/>
    <s v="Jay"/>
    <s v="Libarnes"/>
    <s v="jay.libarnes"/>
    <s v="Standard Hours"/>
    <s v="Stopped"/>
    <b v="0"/>
    <s v="Morningside: 65 Morningside Rd, Northland Region 0110, New Zealand"/>
    <s v="Project"/>
    <x v="17"/>
    <d v="1900-03-01T14:36:00"/>
    <x v="21"/>
    <x v="0"/>
    <b v="0"/>
    <s v="GO Mode,Garmin,HOS,Iridium,UI"/>
    <x v="0"/>
    <x v="1"/>
    <x v="18"/>
    <x v="0"/>
    <x v="0"/>
    <x v="0"/>
    <x v="1"/>
    <s v="6T Hitachi ZX65USB-5A 2022"/>
    <s v="OK"/>
    <d v="2025-11-14T19:45:39"/>
    <d v="2025-11-14T20:17:23"/>
  </r>
  <r>
    <x v="22"/>
    <x v="1"/>
    <s v="b15F"/>
    <n v="0"/>
    <n v="0"/>
    <n v="0"/>
    <s v="Standard Hours"/>
    <s v="Stopped"/>
    <b v="0"/>
    <s v="Kaikohe Work Area: 29 Wihongi Street, Kaikohe 0405, New Zealand"/>
    <s v="Project"/>
    <x v="18"/>
    <d v="1900-02-25T19:56:17"/>
    <x v="22"/>
    <x v="0"/>
    <b v="0"/>
    <s v="GO Mode,Garmin,HOS,Iridium,UI"/>
    <x v="0"/>
    <x v="1"/>
    <x v="19"/>
    <x v="0"/>
    <x v="0"/>
    <x v="0"/>
    <x v="1"/>
    <s v="2.6T Hitachi ZX26U-5A 2022"/>
    <s v="OK"/>
    <d v="2025-11-13T11:35:56"/>
    <d v="2025-11-14T20:39:25"/>
  </r>
  <r>
    <x v="23"/>
    <x v="1"/>
    <s v="b172"/>
    <n v="0"/>
    <n v="0"/>
    <n v="0"/>
    <s v="Standard Hours"/>
    <s v="Stopped"/>
    <b v="0"/>
    <s v="United Civil Head Office: 19B Rewa Rewa Road, Raumanga, Whangārei 0110, New Zealand"/>
    <s v="Office Zone"/>
    <x v="19"/>
    <d v="1901-06-01T19:34:23"/>
    <x v="23"/>
    <x v="0"/>
    <b v="0"/>
    <s v="GO Mode,Garmin,HOS,Iridium,UI"/>
    <x v="0"/>
    <x v="3"/>
    <x v="20"/>
    <x v="0"/>
    <x v="0"/>
    <x v="0"/>
    <x v="1"/>
    <s v="14.5T Hyundai R145CRD-9 2012"/>
    <s v="Device is not downloading data"/>
    <d v="2025-11-07T13:03:56"/>
    <d v="2025-11-07T13:04:12"/>
  </r>
  <r>
    <x v="24"/>
    <x v="6"/>
    <s v="b107"/>
    <n v="0"/>
    <n v="0"/>
    <n v="0"/>
    <s v="Standard Hours"/>
    <s v="Stopped"/>
    <b v="0"/>
    <s v="Channel Infrastructure: 839 Port Marsden Highway, Marsden Point 0171, New Zealand"/>
    <s v="Project"/>
    <x v="20"/>
    <d v="1900-01-06T04:06:32"/>
    <x v="24"/>
    <x v="0"/>
    <b v="0"/>
    <s v="GO Mode,Garmin,HOS,Iridium,UI"/>
    <x v="0"/>
    <x v="4"/>
    <x v="21"/>
    <x v="0"/>
    <x v="0"/>
    <x v="0"/>
    <x v="1"/>
    <s v="Etrucks EV Digger"/>
    <s v="Device is not downloading data"/>
    <d v="2025-09-19T08:40:59"/>
    <d v="2025-10-25T18:55:53"/>
  </r>
  <r>
    <x v="25"/>
    <x v="7"/>
    <s v="b16C"/>
    <s v="Moses"/>
    <s v="Tito"/>
    <s v="moses.tito"/>
    <s v="Standard Hours"/>
    <s v="Stopped"/>
    <b v="0"/>
    <s v="Kaikohe: 13 Carey Road, Kaikohe 0474, New Zealand"/>
    <s v="Project"/>
    <x v="21"/>
    <d v="1900-12-04T02:18:00"/>
    <x v="25"/>
    <x v="0"/>
    <b v="0"/>
    <s v="GO Mode,Garmin,HOS,Iridium,UI"/>
    <x v="0"/>
    <x v="1"/>
    <x v="22"/>
    <x v="2"/>
    <x v="0"/>
    <x v="0"/>
    <x v="1"/>
    <s v="14T Hyundai HL757-7 2006"/>
    <s v="OK"/>
    <d v="2025-11-14T15:30:56"/>
    <d v="2025-11-14T20:32:52"/>
  </r>
  <r>
    <x v="26"/>
    <x v="8"/>
    <s v="b169"/>
    <s v="Izak"/>
    <s v="Proctor"/>
    <s v="izak.proctor"/>
    <s v="Standard Hours"/>
    <s v="Stopped"/>
    <b v="0"/>
    <s v="Gillingham Road: 62A Gillingham Road, Te Kamo, Whangārei 0112, New Zealand"/>
    <s v="Project"/>
    <x v="22"/>
    <d v="1900-05-19T16:08:57"/>
    <x v="26"/>
    <x v="0"/>
    <b v="0"/>
    <s v="GO Mode,Garmin,HOS,Iridium,UI"/>
    <x v="0"/>
    <x v="1"/>
    <x v="23"/>
    <x v="3"/>
    <x v="0"/>
    <x v="0"/>
    <x v="1"/>
    <s v="5T Kubota R520S 2014"/>
    <s v="OK"/>
    <d v="2025-11-12T07:29:10"/>
    <d v="2025-11-14T15:59:10"/>
  </r>
  <r>
    <x v="27"/>
    <x v="8"/>
    <s v="b168"/>
    <n v="0"/>
    <n v="0"/>
    <n v="0"/>
    <s v="Standard Hours"/>
    <s v="Stopped"/>
    <b v="0"/>
    <s v="Channel Infrastructure: Timber Trail, Northland Region, New Zealand"/>
    <s v="Project"/>
    <x v="23"/>
    <d v="1900-06-06T06:35:28"/>
    <x v="27"/>
    <x v="0"/>
    <b v="0"/>
    <s v="GO Mode,Garmin,HOS,Iridium,UI"/>
    <x v="0"/>
    <x v="1"/>
    <x v="24"/>
    <x v="4"/>
    <x v="0"/>
    <x v="0"/>
    <x v="1"/>
    <s v="3T Kubota R420S 2014"/>
    <s v="OK"/>
    <d v="2025-11-14T15:46:08"/>
    <d v="2025-11-14T20:21:23"/>
  </r>
  <r>
    <x v="28"/>
    <x v="9"/>
    <s v="b307"/>
    <n v="0"/>
    <n v="0"/>
    <n v="0"/>
    <s v="Standard Hours"/>
    <n v="0"/>
    <b v="0"/>
    <n v="0"/>
    <n v="0"/>
    <x v="0"/>
    <d v="1900-07-23T10:00:00"/>
    <x v="28"/>
    <x v="0"/>
    <b v="0"/>
    <n v="0"/>
    <x v="1"/>
    <x v="2"/>
    <x v="2"/>
    <x v="0"/>
    <x v="0"/>
    <x v="0"/>
    <x v="0"/>
    <s v="18T Landex XCMG LW500K 2016"/>
    <n v="0"/>
    <d v="1899-12-30T00:00:00"/>
    <s v=""/>
  </r>
  <r>
    <x v="29"/>
    <x v="10"/>
    <s v="b162"/>
    <n v="0"/>
    <n v="0"/>
    <n v="0"/>
    <s v="Standard Hours"/>
    <s v="Stopped"/>
    <b v="0"/>
    <s v="Kaikohe: 8 Lindvart Street, Kaikohe 0474, New Zealand"/>
    <s v="Project"/>
    <x v="24"/>
    <d v="1900-04-19T16:30:00"/>
    <x v="29"/>
    <x v="0"/>
    <b v="0"/>
    <s v="GO Mode,Garmin,HOS,Iridium,UI"/>
    <x v="0"/>
    <x v="1"/>
    <x v="25"/>
    <x v="5"/>
    <x v="0"/>
    <x v="0"/>
    <x v="1"/>
    <s v="7T Manitou MLT-X732"/>
    <s v="OK"/>
    <d v="2025-11-14T14:53:20"/>
    <d v="2025-11-14T20:25:20"/>
  </r>
  <r>
    <x v="30"/>
    <x v="10"/>
    <s v="b16D"/>
    <s v="Felix"/>
    <s v="Bongalos"/>
    <s v="felix.bongalos"/>
    <s v="Standard Hours"/>
    <s v="Stopped"/>
    <b v="0"/>
    <s v="Channel Infrastructure: 12 Ralph Trimmer Drive, Marsden Point 0171, New Zealand"/>
    <s v="Project"/>
    <x v="25"/>
    <d v="1900-04-27T13:50:19"/>
    <x v="30"/>
    <x v="0"/>
    <b v="0"/>
    <s v="GO Mode,Garmin,HOS,Iridium,UI"/>
    <x v="0"/>
    <x v="1"/>
    <x v="26"/>
    <x v="6"/>
    <x v="0"/>
    <x v="0"/>
    <x v="1"/>
    <s v="5T Manitou MT625"/>
    <s v="OK"/>
    <d v="2025-11-14T15:05:02"/>
    <d v="2025-11-14T20:36:42"/>
  </r>
  <r>
    <x v="31"/>
    <x v="10"/>
    <s v="b163"/>
    <n v="0"/>
    <n v="0"/>
    <n v="0"/>
    <s v="Standard Hours"/>
    <s v="Stopped"/>
    <b v="0"/>
    <s v="Morningside: 80 Morningside Road, Morningside, Whangārei 0110, New Zealand"/>
    <s v="Project"/>
    <x v="26"/>
    <d v="1900-03-10T03:07:38"/>
    <x v="31"/>
    <x v="0"/>
    <b v="0"/>
    <s v="GO Mode,Garmin,HOS,Iridium,UI"/>
    <x v="0"/>
    <x v="3"/>
    <x v="27"/>
    <x v="7"/>
    <x v="0"/>
    <x v="0"/>
    <x v="1"/>
    <s v="7T Manitou MLT-X732"/>
    <s v="OK"/>
    <d v="2025-11-13T18:58:36"/>
    <d v="2025-11-14T20:33:31"/>
  </r>
  <r>
    <x v="32"/>
    <x v="10"/>
    <s v="b177"/>
    <n v="0"/>
    <n v="0"/>
    <n v="0"/>
    <s v="Standard Hours"/>
    <s v="Stopped"/>
    <b v="0"/>
    <s v="Kaitaia Wastewater: 19 Puckey Avenue, Kaitaia 0410, New Zealand"/>
    <s v="Project"/>
    <x v="27"/>
    <d v="1900-02-26T20:22:03"/>
    <x v="32"/>
    <x v="0"/>
    <b v="0"/>
    <s v="GO Mode,Garmin,HOS,Iridium,UI"/>
    <x v="0"/>
    <x v="1"/>
    <x v="28"/>
    <x v="8"/>
    <x v="0"/>
    <x v="0"/>
    <x v="1"/>
    <s v="7T Manitou MLT-X732"/>
    <s v="OK"/>
    <d v="2025-11-14T15:15:46"/>
    <d v="2025-11-14T20:20:43"/>
  </r>
  <r>
    <x v="33"/>
    <x v="11"/>
    <s v="b171"/>
    <n v="0"/>
    <n v="0"/>
    <n v="0"/>
    <s v="Standard Hours"/>
    <s v="Stopped"/>
    <b v="0"/>
    <s v="Kaitaia Wastewater: 19 Puckey Avenue, Kaitaia 0410, New Zealand"/>
    <s v="Project"/>
    <x v="28"/>
    <d v="1900-02-20T11:42:00"/>
    <x v="33"/>
    <x v="0"/>
    <b v="0"/>
    <s v="GO Mode,Garmin,HOS,Iridium,UI"/>
    <x v="0"/>
    <x v="1"/>
    <x v="29"/>
    <x v="0"/>
    <x v="0"/>
    <x v="0"/>
    <x v="1"/>
    <s v="Cat 299D3 Compact Track 2022"/>
    <s v="OK"/>
    <d v="2025-11-12T11:28:45"/>
    <d v="2025-11-14T15:17:17"/>
  </r>
  <r>
    <x v="34"/>
    <x v="12"/>
    <s v="b18F"/>
    <n v="0"/>
    <n v="0"/>
    <n v="0"/>
    <s v="Standard Hours"/>
    <s v="Stopped"/>
    <b v="0"/>
    <s v="Ruakaka Solar Farm Site 2: 41 Mccathie Road, Ruakākā 0171, New Zealand"/>
    <s v="Project"/>
    <x v="29"/>
    <d v="1900-05-26T03:43:57"/>
    <x v="34"/>
    <x v="0"/>
    <b v="0"/>
    <s v="GO Mode,Garmin,HOS,Iridium,UI"/>
    <x v="0"/>
    <x v="1"/>
    <x v="30"/>
    <x v="0"/>
    <x v="0"/>
    <x v="0"/>
    <x v="1"/>
    <s v="Mitsubishi Fuso Fighter FK200K6 2007"/>
    <s v="OK"/>
    <d v="2025-11-14T09:38:55"/>
    <d v="2025-11-14T20:40:53"/>
  </r>
  <r>
    <x v="35"/>
    <x v="13"/>
    <s v="b190"/>
    <n v="0"/>
    <n v="0"/>
    <n v="0"/>
    <s v="Standard Hours"/>
    <s v="Stopped"/>
    <b v="0"/>
    <s v="United Civil Head Office: 19 Rewa Rewa Road, Raumanga, Whangārei 0110, New Zealand"/>
    <s v="Office Zone"/>
    <x v="30"/>
    <d v="1900-02-26T17:00:36"/>
    <x v="35"/>
    <x v="0"/>
    <b v="0"/>
    <s v="GO Mode,Garmin,HOS,Iridium,UI"/>
    <x v="0"/>
    <x v="1"/>
    <x v="31"/>
    <x v="0"/>
    <x v="0"/>
    <x v="0"/>
    <x v="1"/>
    <s v="10T Sakai R2S 2000 Static 3 Pin"/>
    <s v="OK"/>
    <d v="2025-10-22T09:17:56"/>
    <d v="2025-11-14T09:45:27"/>
  </r>
  <r>
    <x v="36"/>
    <x v="13"/>
    <s v="b18D"/>
    <n v="0"/>
    <n v="0"/>
    <n v="0"/>
    <s v="Standard Hours"/>
    <s v="Stopped"/>
    <b v="0"/>
    <s v="6970 Mangakahia Road, Kaikohe 0474, New Zealand"/>
    <n v="0"/>
    <x v="31"/>
    <d v="1900-03-10T01:30:01"/>
    <x v="36"/>
    <x v="0"/>
    <b v="0"/>
    <s v="GO Mode,Garmin,HOS,Iridium,UI"/>
    <x v="0"/>
    <x v="3"/>
    <x v="32"/>
    <x v="9"/>
    <x v="0"/>
    <x v="0"/>
    <x v="1"/>
    <s v="10T Sakai R2S 1990 Static 3 Pin"/>
    <s v="OK"/>
    <d v="2025-11-14T15:48:41"/>
    <d v="2025-11-14T20:23:35"/>
  </r>
  <r>
    <x v="37"/>
    <x v="14"/>
    <s v="b194"/>
    <n v="0"/>
    <n v="0"/>
    <n v="0"/>
    <s v="Standard Hours"/>
    <s v="Stopped"/>
    <b v="0"/>
    <s v="Channel Infrastructure: 1 Ralph Trimmer Drive, Marsden Point 0171, New Zealand"/>
    <s v="Project"/>
    <x v="32"/>
    <d v="1900-12-20T07:32:35"/>
    <x v="37"/>
    <x v="0"/>
    <b v="0"/>
    <s v="GO Mode,Garmin,HOS,Iridium,UI"/>
    <x v="0"/>
    <x v="3"/>
    <x v="33"/>
    <x v="10"/>
    <x v="0"/>
    <x v="0"/>
    <x v="1"/>
    <s v="Caterpillar 12H 2003"/>
    <s v="OK"/>
    <d v="2025-11-14T12:25:11"/>
    <d v="2025-11-14T12:44:06"/>
  </r>
  <r>
    <x v="38"/>
    <x v="14"/>
    <s v="b191"/>
    <s v="Philip"/>
    <s v="Bryers"/>
    <s v="philip.bryers@unitedcivil.co.nz"/>
    <s v="Standard Hours"/>
    <s v="Stopped"/>
    <b v="0"/>
    <s v="Mangawhai: 1620 Mangawhai Road, Mangawhai 0975, New Zealand"/>
    <s v="Project"/>
    <x v="33"/>
    <d v="1901-01-19T21:43:26"/>
    <x v="38"/>
    <x v="0"/>
    <b v="0"/>
    <s v="GO Mode,Garmin,HOS,Iridium,UI"/>
    <x v="0"/>
    <x v="3"/>
    <x v="34"/>
    <x v="11"/>
    <x v="0"/>
    <x v="0"/>
    <x v="1"/>
    <s v="Komatsu GD655-3A 2008"/>
    <s v="OK"/>
    <d v="2025-11-14T10:50:11"/>
    <d v="2025-11-14T13:31:13"/>
  </r>
  <r>
    <x v="39"/>
    <x v="15"/>
    <s v="bFC"/>
    <n v="0"/>
    <n v="0"/>
    <n v="0"/>
    <s v="Standard Hours"/>
    <s v="Stopped"/>
    <b v="0"/>
    <s v="United Civil Head Office: 19B Rewa Rewa Road, Raumanga, Whangārei 0110, New Zealand"/>
    <s v="Office Zone"/>
    <x v="34"/>
    <d v="1900-06-10T06:06:18"/>
    <x v="39"/>
    <x v="0"/>
    <b v="0"/>
    <s v="GO Mode,Garmin,HOS,Iridium,UI"/>
    <x v="0"/>
    <x v="1"/>
    <x v="35"/>
    <x v="12"/>
    <x v="0"/>
    <x v="1"/>
    <x v="1"/>
    <s v="Toyota Hiace 2009"/>
    <s v="OK"/>
    <d v="2025-11-14T16:15:37"/>
    <d v="2025-11-14T20:17:25"/>
  </r>
  <r>
    <x v="40"/>
    <x v="16"/>
    <s v="bCE"/>
    <s v="Daniel"/>
    <s v="Van Houten"/>
    <s v="daniel.vanhouten"/>
    <s v="Standard Hours"/>
    <s v="Stopped"/>
    <b v="0"/>
    <s v="United Civil Head Office: 19B Rewa Rewa Road, Raumanga, Whangārei 0110, New Zealand"/>
    <s v="Office Zone"/>
    <x v="35"/>
    <d v="1900-01-17T01:27:21"/>
    <x v="40"/>
    <x v="0"/>
    <b v="0"/>
    <s v="GO Mode,Garmin,HOS,Iridium,UI"/>
    <x v="0"/>
    <x v="1"/>
    <x v="36"/>
    <x v="13"/>
    <x v="0"/>
    <x v="2"/>
    <x v="1"/>
    <s v="Toyota Hiace 2013"/>
    <s v="OK"/>
    <d v="2025-11-14T17:55:10"/>
    <d v="2025-11-14T20:35:56"/>
  </r>
  <r>
    <x v="41"/>
    <x v="15"/>
    <s v="b12A"/>
    <s v="Robert"/>
    <s v="Burns"/>
    <s v="robert.burns"/>
    <s v="Standard Hours"/>
    <s v="Stopped"/>
    <b v="0"/>
    <s v="United Civil Head Office: 19B Rewa Rewa Road, Raumanga, Whangārei 0110, New Zealand"/>
    <s v="Office Zone"/>
    <x v="36"/>
    <d v="1900-01-11T08:41:26"/>
    <x v="41"/>
    <x v="0"/>
    <b v="0"/>
    <s v="GO Mode,Garmin,HOS,Iridium,UI"/>
    <x v="0"/>
    <x v="5"/>
    <x v="37"/>
    <x v="14"/>
    <x v="0"/>
    <x v="3"/>
    <x v="1"/>
    <s v="Ford Ranger 2010 4x2 XLT D/C W/S"/>
    <s v="OK"/>
    <d v="2025-11-14T17:10:05"/>
    <d v="2025-11-14T20:29:34"/>
  </r>
  <r>
    <x v="42"/>
    <x v="16"/>
    <s v="b101"/>
    <s v="Leroy"/>
    <s v="Anderson"/>
    <s v="leroy.anderson"/>
    <s v="Standard Hours"/>
    <s v="Stopped"/>
    <b v="0"/>
    <s v="United Civil Head Office: 19B Rewa Rewa Road, Raumanga, Whangārei 0110, New Zealand"/>
    <s v="Office Zone"/>
    <x v="37"/>
    <d v="1900-01-16T13:44:37"/>
    <x v="42"/>
    <x v="0"/>
    <b v="0"/>
    <s v="GO Mode,Garmin,HOS,Iridium,UI"/>
    <x v="0"/>
    <x v="5"/>
    <x v="38"/>
    <x v="15"/>
    <x v="0"/>
    <x v="4"/>
    <x v="1"/>
    <s v="Ford Ranger (2015)"/>
    <s v="OK"/>
    <d v="2025-11-14T17:32:58"/>
    <d v="2025-11-14T20:35:08"/>
  </r>
  <r>
    <x v="43"/>
    <x v="15"/>
    <s v="b17C"/>
    <n v="0"/>
    <n v="0"/>
    <n v="0"/>
    <s v="Standard Hours"/>
    <s v="Stopped"/>
    <b v="0"/>
    <s v="118 Western Hills Drive, Kensington, Whangārei 0112, New Zealand"/>
    <n v="0"/>
    <x v="38"/>
    <d v="1900-01-07T11:48:14"/>
    <x v="43"/>
    <x v="0"/>
    <b v="0"/>
    <s v="GO Mode,Garmin,HOS,Iridium,UI"/>
    <x v="0"/>
    <x v="6"/>
    <x v="39"/>
    <x v="16"/>
    <x v="0"/>
    <x v="5"/>
    <x v="1"/>
    <s v="Ford Ranger 2011 4x2 XLT D/C W/S"/>
    <s v="OK"/>
    <d v="2025-11-14T17:43:18"/>
    <d v="2025-11-14T20:15:06"/>
  </r>
  <r>
    <x v="44"/>
    <x v="17"/>
    <s v="b113"/>
    <s v="John"/>
    <s v="Munnelly"/>
    <s v="john.munnelly@unitedcivil.co.nz"/>
    <s v="Standard Hours"/>
    <s v="Stopped"/>
    <b v="0"/>
    <s v="104 Ocean Road, Whangamatā 3620, New Zealand"/>
    <n v="0"/>
    <x v="39"/>
    <d v="1900-01-19T07:34:45"/>
    <x v="44"/>
    <x v="0"/>
    <b v="0"/>
    <s v="GO Mode,Garmin,HOS,Iridium,UI"/>
    <x v="0"/>
    <x v="7"/>
    <x v="40"/>
    <x v="17"/>
    <x v="0"/>
    <x v="6"/>
    <x v="1"/>
    <s v="Ford Ranger (2010)"/>
    <s v="OK"/>
    <d v="2025-11-14T20:07:27"/>
    <d v="2025-11-14T20:39:22"/>
  </r>
  <r>
    <x v="45"/>
    <x v="15"/>
    <s v="b10D"/>
    <n v="0"/>
    <n v="0"/>
    <n v="0"/>
    <s v="Standard Hours"/>
    <s v="Stopped"/>
    <b v="0"/>
    <s v="United Civil Head Office: 19B Rewa Rewa Road, Raumanga, Whangārei 0110, New Zealand"/>
    <s v="Office Zone"/>
    <x v="40"/>
    <d v="1900-01-13T14:42:47"/>
    <x v="45"/>
    <x v="0"/>
    <b v="0"/>
    <s v="GO Mode,Garmin,HOS,Iridium,UI"/>
    <x v="0"/>
    <x v="1"/>
    <x v="41"/>
    <x v="18"/>
    <x v="0"/>
    <x v="0"/>
    <x v="1"/>
    <s v="Toyota Hilux 2011 4x2 D/C W/S"/>
    <s v="OK"/>
    <d v="2025-11-12T13:52:04"/>
    <d v="2025-11-14T20:30:05"/>
  </r>
  <r>
    <x v="46"/>
    <x v="16"/>
    <s v="b17D"/>
    <s v="Anthony"/>
    <s v="Edwards"/>
    <s v="anthony.edwards"/>
    <s v="Standard Hours"/>
    <s v="Stopped"/>
    <b v="0"/>
    <s v="14A Black Wattle Lane, Raumanga, Whangārei 0110, New Zealand"/>
    <n v="0"/>
    <x v="41"/>
    <d v="1900-07-02T15:48:00"/>
    <x v="46"/>
    <x v="0"/>
    <b v="0"/>
    <s v="GO Mode,Garmin,HOS,Iridium,UI"/>
    <x v="0"/>
    <x v="5"/>
    <x v="42"/>
    <x v="19"/>
    <x v="0"/>
    <x v="7"/>
    <x v="1"/>
    <s v="Ford Ranger 2018 4x2 XLT D/C W/S"/>
    <s v="OK"/>
    <d v="2025-11-14T18:29:06"/>
    <d v="2025-11-14T20:31:22"/>
  </r>
  <r>
    <x v="47"/>
    <x v="16"/>
    <s v="b108"/>
    <n v="0"/>
    <n v="0"/>
    <n v="0"/>
    <s v="Standard Hours"/>
    <s v="Stopped"/>
    <b v="0"/>
    <s v="55 Ngahuhu Road, Pakaraka 0472, New Zealand"/>
    <n v="0"/>
    <x v="42"/>
    <d v="1900-06-30T00:44:01"/>
    <x v="47"/>
    <x v="0"/>
    <b v="0"/>
    <s v="GO Mode,Garmin,HOS,Iridium,UI"/>
    <x v="0"/>
    <x v="5"/>
    <x v="43"/>
    <x v="20"/>
    <x v="0"/>
    <x v="8"/>
    <x v="1"/>
    <s v="Ford Ranger (2017)"/>
    <s v="OK"/>
    <d v="2025-11-14T16:40:19"/>
    <d v="2025-11-14T20:14:36"/>
  </r>
  <r>
    <x v="48"/>
    <x v="16"/>
    <s v="bCC"/>
    <n v="0"/>
    <n v="0"/>
    <n v="0"/>
    <s v="Standard Hours"/>
    <s v="Stopped"/>
    <b v="0"/>
    <s v="249 Kiripaka Road, Northland 0112, New Zealand"/>
    <n v="0"/>
    <x v="43"/>
    <d v="1900-06-20T05:12:00"/>
    <x v="48"/>
    <x v="0"/>
    <b v="0"/>
    <s v="GO Mode,Garmin,HOS,Iridium,UI"/>
    <x v="0"/>
    <x v="7"/>
    <x v="44"/>
    <x v="21"/>
    <x v="0"/>
    <x v="9"/>
    <x v="1"/>
    <s v="Ford Ranger 2018 4x2 XLT D/C W/S"/>
    <s v="OK"/>
    <d v="2025-11-14T17:12:19"/>
    <d v="2025-11-14T20:14:28"/>
  </r>
  <r>
    <x v="49"/>
    <x v="16"/>
    <s v="b17E"/>
    <s v="Mike"/>
    <s v="Walters"/>
    <s v="mike.walters"/>
    <s v="Standard Hours"/>
    <s v="Stopped"/>
    <b v="0"/>
    <s v="29C Rifle Range Road, Taupō 3330, New Zealand"/>
    <n v="0"/>
    <x v="44"/>
    <d v="1900-06-30T00:06:00"/>
    <x v="49"/>
    <x v="0"/>
    <b v="0"/>
    <s v="GO Mode,Garmin,HOS,Iridium,UI"/>
    <x v="0"/>
    <x v="5"/>
    <x v="45"/>
    <x v="22"/>
    <x v="0"/>
    <x v="10"/>
    <x v="1"/>
    <s v="Ford Ranger 2018 4x4 XLT D/C W/S"/>
    <s v="OK"/>
    <d v="2025-11-14T20:19:52"/>
    <d v="2025-11-14T20:20:53"/>
  </r>
  <r>
    <x v="50"/>
    <x v="18"/>
    <s v="bC9"/>
    <s v="Harris"/>
    <s v="Crowe"/>
    <s v="harris.crowe@unitedcivil.co.nz"/>
    <s v="Standard Hours"/>
    <s v="Stopped"/>
    <b v="0"/>
    <s v="71 Whangaumu Street, Tutukaka 0140, New Zealand"/>
    <n v="0"/>
    <x v="45"/>
    <d v="1900-07-01T06:06:00"/>
    <x v="50"/>
    <x v="0"/>
    <b v="0"/>
    <s v="GO Mode,Garmin,HOS,Iridium,UI"/>
    <x v="0"/>
    <x v="5"/>
    <x v="46"/>
    <x v="23"/>
    <x v="0"/>
    <x v="11"/>
    <x v="1"/>
    <s v="Ford Ranger 2018 4x4 XLT D/C W/S"/>
    <s v="OK"/>
    <d v="2025-11-14T18:28:56"/>
    <d v="2025-11-14T20:31:00"/>
  </r>
  <r>
    <x v="51"/>
    <x v="15"/>
    <s v="b105"/>
    <s v="Jake"/>
    <s v="Moretti"/>
    <s v="jake.moretti"/>
    <s v="Standard Hours"/>
    <s v="Stopped"/>
    <b v="0"/>
    <s v="3 Isola Street, Raumanga, Whangārei 0110, New Zealand"/>
    <n v="0"/>
    <x v="46"/>
    <d v="1900-01-18T02:46:26"/>
    <x v="51"/>
    <x v="0"/>
    <b v="0"/>
    <s v="GO Mode,Garmin,HOS,Iridium,UI"/>
    <x v="0"/>
    <x v="1"/>
    <x v="47"/>
    <x v="24"/>
    <x v="0"/>
    <x v="0"/>
    <x v="1"/>
    <s v="Ford Ranger 2018 4x4 XLT D/C W/S"/>
    <s v="OK"/>
    <d v="2025-11-14T18:12:38"/>
    <d v="2025-11-14T20:17:35"/>
  </r>
  <r>
    <x v="52"/>
    <x v="16"/>
    <s v="b11E"/>
    <n v="0"/>
    <n v="0"/>
    <n v="0"/>
    <s v="Standard Hours"/>
    <s v="Stopped"/>
    <b v="0"/>
    <s v="318 Cemetery Road, Maunu, Whangārei 0179, New Zealand"/>
    <n v="0"/>
    <x v="47"/>
    <d v="1900-06-25T09:12:00"/>
    <x v="52"/>
    <x v="0"/>
    <b v="0"/>
    <s v="GO Mode,Garmin,HOS,Iridium,UI"/>
    <x v="0"/>
    <x v="6"/>
    <x v="48"/>
    <x v="25"/>
    <x v="0"/>
    <x v="12"/>
    <x v="1"/>
    <s v="Ford Ranger (2018)"/>
    <s v="OK"/>
    <d v="2025-11-14T18:06:39"/>
    <d v="2025-11-14T20:38:50"/>
  </r>
  <r>
    <x v="53"/>
    <x v="16"/>
    <s v="bD9"/>
    <n v="0"/>
    <n v="0"/>
    <n v="0"/>
    <s v="Standard Hours"/>
    <s v="Stopped"/>
    <b v="0"/>
    <s v="19 Dakota Place, Raumanga, Whangārei 0110, New Zealand"/>
    <n v="0"/>
    <x v="48"/>
    <d v="1900-07-18T00:12:00"/>
    <x v="53"/>
    <x v="0"/>
    <b v="0"/>
    <s v="GO Mode,Garmin,HOS,Iridium,UI"/>
    <x v="0"/>
    <x v="1"/>
    <x v="49"/>
    <x v="26"/>
    <x v="0"/>
    <x v="13"/>
    <x v="1"/>
    <s v="Ford Ranger 2018 4x2 XLT D/C W/S"/>
    <s v="OK"/>
    <d v="2025-11-14T17:20:16"/>
    <d v="2025-11-14T20:22:24"/>
  </r>
  <r>
    <x v="54"/>
    <x v="16"/>
    <s v="b102"/>
    <s v="James"/>
    <s v="Gardiner"/>
    <s v="james.gardiner"/>
    <s v="Standard Hours"/>
    <s v="Stopped"/>
    <b v="0"/>
    <s v="United Civil Head Office: 19B Rewa Rewa Road, Raumanga, Whangārei 0110, New Zealand"/>
    <s v="Office Zone"/>
    <x v="49"/>
    <d v="1900-01-18T09:08:29"/>
    <x v="54"/>
    <x v="0"/>
    <b v="0"/>
    <s v="GO Mode,Garmin,HOS,Iridium,UI"/>
    <x v="0"/>
    <x v="8"/>
    <x v="50"/>
    <x v="27"/>
    <x v="0"/>
    <x v="14"/>
    <x v="1"/>
    <s v="Ford Ranger (2013)"/>
    <s v="Device is not downloading data"/>
    <d v="2025-10-29T15:35:13"/>
    <d v="2025-10-30T08:10:21"/>
  </r>
  <r>
    <x v="55"/>
    <x v="16"/>
    <s v="bD1"/>
    <s v="Ronel"/>
    <s v="Lineses"/>
    <s v="ronel.lineses"/>
    <s v="Standard Hours"/>
    <s v="Stopped"/>
    <b v="0"/>
    <s v="241 Jobe Road, Maungakaramea 0178, New Zealand"/>
    <n v="0"/>
    <x v="50"/>
    <d v="1900-01-19T21:23:23"/>
    <x v="55"/>
    <x v="0"/>
    <b v="0"/>
    <s v="GO Mode,Garmin,HOS,Iridium,UI"/>
    <x v="0"/>
    <x v="1"/>
    <x v="51"/>
    <x v="28"/>
    <x v="0"/>
    <x v="15"/>
    <x v="1"/>
    <s v="Mazda BT-50 2013 4x2 GSX D/C W/S"/>
    <s v="OK"/>
    <d v="2025-11-14T17:32:44"/>
    <d v="2025-11-14T20:35:01"/>
  </r>
  <r>
    <x v="56"/>
    <x v="16"/>
    <s v="bD6"/>
    <s v="Jamie"/>
    <s v="Wyeth"/>
    <s v="jamie.wyeth"/>
    <s v="Standard Hours"/>
    <s v="Stopped"/>
    <b v="0"/>
    <s v="United Civil Head Office: 19B Rewa Rewa Road, Raumanga, Whangārei 0110, New Zealand"/>
    <s v="Office Zone"/>
    <x v="51"/>
    <d v="1900-01-10T03:29:17"/>
    <x v="56"/>
    <x v="0"/>
    <b v="0"/>
    <s v="GO Mode,Garmin,HOS,Iridium,UI"/>
    <x v="0"/>
    <x v="5"/>
    <x v="52"/>
    <x v="29"/>
    <x v="0"/>
    <x v="16"/>
    <x v="1"/>
    <s v="Ford Ranger 2015 4x4 Cabplus F/D"/>
    <s v="OK"/>
    <d v="2025-11-14T16:17:48"/>
    <d v="2025-11-14T16:18:00"/>
  </r>
  <r>
    <x v="57"/>
    <x v="16"/>
    <s v="b187"/>
    <s v="Mark"/>
    <s v="Guelas"/>
    <s v="mark.guelas"/>
    <s v="Standard Hours"/>
    <s v="Stopped"/>
    <b v="0"/>
    <s v="United Civil Head Office: 19B Rewa Rewa Road, Raumanga, Whangārei 0110, New Zealand"/>
    <s v="Office Zone"/>
    <x v="52"/>
    <d v="1900-06-24T14:26:40"/>
    <x v="57"/>
    <x v="0"/>
    <b v="0"/>
    <s v="GO Mode,Garmin,HOS,Iridium,UI"/>
    <x v="0"/>
    <x v="5"/>
    <x v="53"/>
    <x v="30"/>
    <x v="0"/>
    <x v="17"/>
    <x v="1"/>
    <s v="Ford Ranger 2018 4x4 D/C W/S"/>
    <s v="OK"/>
    <d v="2025-11-14T12:14:49"/>
    <d v="2025-11-14T20:15:58"/>
  </r>
  <r>
    <x v="58"/>
    <x v="16"/>
    <s v="b104"/>
    <n v="0"/>
    <n v="0"/>
    <n v="0"/>
    <s v="Standard Hours"/>
    <s v="Stopped"/>
    <b v="0"/>
    <s v="Gillingham Road: 62A Gillingham Road, Te Kamo, Whangārei 0112, New Zealand"/>
    <s v="Project"/>
    <x v="53"/>
    <d v="1900-01-06T17:12:54"/>
    <x v="58"/>
    <x v="0"/>
    <b v="0"/>
    <s v="GO Mode,Garmin,HOS,Iridium,UI"/>
    <x v="0"/>
    <x v="1"/>
    <x v="54"/>
    <x v="31"/>
    <x v="0"/>
    <x v="18"/>
    <x v="1"/>
    <s v="Mazda BT-50 2012 4x2 GLX Cabplus W/S"/>
    <s v="OK"/>
    <d v="2025-11-14T15:30:36"/>
    <d v="2025-11-14T20:32:52"/>
  </r>
  <r>
    <x v="59"/>
    <x v="16"/>
    <s v="b110"/>
    <n v="0"/>
    <n v="0"/>
    <n v="0"/>
    <s v="Standard Hours"/>
    <s v="Stopped"/>
    <b v="0"/>
    <s v="2915 State Highway 12, Waimā 0473, New Zealand"/>
    <n v="0"/>
    <x v="54"/>
    <d v="1900-01-15T04:27:33"/>
    <x v="59"/>
    <x v="0"/>
    <b v="0"/>
    <s v="GO Mode,Garmin,HOS,Iridium,UI"/>
    <x v="0"/>
    <x v="1"/>
    <x v="55"/>
    <x v="32"/>
    <x v="0"/>
    <x v="19"/>
    <x v="1"/>
    <s v="Mazda BT-50 2012 4x2 GLX D/C W/S"/>
    <s v="OK"/>
    <d v="2025-11-14T15:05:47"/>
    <d v="2025-11-14T20:37:48"/>
  </r>
  <r>
    <x v="60"/>
    <x v="19"/>
    <s v="b129"/>
    <n v="0"/>
    <n v="0"/>
    <n v="0"/>
    <s v="Standard Hours"/>
    <s v="Stopped"/>
    <b v="0"/>
    <s v="83 Hatea Drive, Regent, Whangārei 0112, New Zealand"/>
    <n v="0"/>
    <x v="55"/>
    <d v="1900-07-08T21:30:00"/>
    <x v="60"/>
    <x v="0"/>
    <b v="0"/>
    <s v="GO Mode,Garmin,HOS,Iridium,UI"/>
    <x v="0"/>
    <x v="9"/>
    <x v="56"/>
    <x v="33"/>
    <x v="0"/>
    <x v="20"/>
    <x v="1"/>
    <s v="Ford Ranger 2019 4x2 XLT D/C W/S"/>
    <s v="OK"/>
    <d v="2025-11-14T18:21:57"/>
    <d v="2025-11-14T20:24:05"/>
  </r>
  <r>
    <x v="61"/>
    <x v="16"/>
    <s v="b180"/>
    <s v="Jaco"/>
    <s v="Van Dijk"/>
    <s v="jaco.vandijk"/>
    <s v="Standard Hours"/>
    <s v="Stopped"/>
    <b v="0"/>
    <s v="107 Beverley Terrace, Whangamatā 3620, New Zealand"/>
    <n v="0"/>
    <x v="56"/>
    <d v="1900-01-06T06:14:33"/>
    <x v="61"/>
    <x v="0"/>
    <b v="0"/>
    <s v="GO Mode,Garmin,HOS,Iridium,UI"/>
    <x v="0"/>
    <x v="5"/>
    <x v="57"/>
    <x v="34"/>
    <x v="0"/>
    <x v="21"/>
    <x v="1"/>
    <s v="Ford Ranger 2014 4x2 XL D/C W/S"/>
    <s v="OK"/>
    <d v="2025-11-14T19:36:09"/>
    <d v="2025-11-14T20:38:22"/>
  </r>
  <r>
    <x v="62"/>
    <x v="15"/>
    <s v="b10F"/>
    <n v="0"/>
    <n v="0"/>
    <n v="0"/>
    <s v="Standard Hours"/>
    <s v="Stopped"/>
    <b v="0"/>
    <s v="1 Wessex Street, Tikipunga, Whangārei 0112, New Zealand"/>
    <n v="0"/>
    <x v="57"/>
    <d v="1900-01-19T06:02:22"/>
    <x v="62"/>
    <x v="0"/>
    <b v="0"/>
    <s v="GO Mode,Garmin,HOS,Iridium,UI"/>
    <x v="0"/>
    <x v="1"/>
    <x v="58"/>
    <x v="35"/>
    <x v="0"/>
    <x v="0"/>
    <x v="1"/>
    <s v="Toyota Hilux 2014 4x2 D/C W/S"/>
    <s v="OK"/>
    <d v="2025-11-14T17:11:01"/>
    <d v="2025-11-14T20:12:51"/>
  </r>
  <r>
    <x v="63"/>
    <x v="16"/>
    <s v="b122"/>
    <s v="Mahesh"/>
    <s v="Prasad"/>
    <s v="mahesh.prasad"/>
    <s v="Standard Hours"/>
    <s v="Stopped"/>
    <b v="0"/>
    <s v="3 Provisional Drive, Te Kamo, Whangārei 0112, New Zealand"/>
    <n v="0"/>
    <x v="58"/>
    <d v="1900-07-25T14:48:47"/>
    <x v="63"/>
    <x v="0"/>
    <b v="0"/>
    <s v="GO Mode,Garmin,HOS,Iridium,UI"/>
    <x v="0"/>
    <x v="5"/>
    <x v="59"/>
    <x v="36"/>
    <x v="0"/>
    <x v="22"/>
    <x v="1"/>
    <s v="Ford Ranger 2016 4x2 XL D/C W/S"/>
    <s v="OK"/>
    <d v="2025-11-14T18:02:24"/>
    <d v="2025-11-14T20:38:21"/>
  </r>
  <r>
    <x v="64"/>
    <x v="20"/>
    <s v="b17F"/>
    <s v="Colin"/>
    <s v="Newbold"/>
    <s v="colin.newbold@unitedcivil.co.nz"/>
    <s v="Standard Hours"/>
    <s v="Stopped"/>
    <b v="0"/>
    <s v="3223 State Highway 2, Tutira 4181, New Zealand"/>
    <n v="0"/>
    <x v="59"/>
    <d v="1900-04-27T06:18:00"/>
    <x v="64"/>
    <x v="0"/>
    <b v="0"/>
    <s v="GO Mode,Garmin,HOS,Iridium,UI"/>
    <x v="0"/>
    <x v="1"/>
    <x v="60"/>
    <x v="37"/>
    <x v="0"/>
    <x v="23"/>
    <x v="1"/>
    <s v="Ford Ranger 2020 4x2 XLT D/C W/S"/>
    <s v="OK"/>
    <d v="2025-11-14T19:17:01"/>
    <d v="2025-11-14T20:19:22"/>
  </r>
  <r>
    <x v="65"/>
    <x v="21"/>
    <s v="b184"/>
    <s v="Thomas"/>
    <s v="Blaza"/>
    <s v="thomas.blaza@unitedcivil.co.nz"/>
    <s v="Standard Hours"/>
    <s v="Stopped"/>
    <b v="0"/>
    <s v="220 Marsden Point Road, Ruakākā 0116, New Zealand"/>
    <n v="0"/>
    <x v="60"/>
    <d v="1900-05-14T15:06:00"/>
    <x v="65"/>
    <x v="0"/>
    <b v="0"/>
    <s v="GO Mode,Garmin,HOS,Iridium,UI"/>
    <x v="0"/>
    <x v="1"/>
    <x v="61"/>
    <x v="38"/>
    <x v="0"/>
    <x v="24"/>
    <x v="1"/>
    <s v="Ford Ranger 2020 4x2 XLT D/C W/S"/>
    <s v="OK"/>
    <d v="2025-11-14T17:05:21"/>
    <d v="2025-11-14T20:37:29"/>
  </r>
  <r>
    <x v="66"/>
    <x v="16"/>
    <s v="b19E"/>
    <s v="Damien"/>
    <s v="Walters"/>
    <s v="damien.walters"/>
    <s v="Standard Hours"/>
    <s v="Stopped"/>
    <b v="0"/>
    <s v="122 Raumanga Heights Drive, Raumanga, Whangārei 0110, New Zealand"/>
    <n v="0"/>
    <x v="61"/>
    <d v="1900-08-02T02:36:00"/>
    <x v="66"/>
    <x v="0"/>
    <b v="0"/>
    <s v="GO Mode,Garmin,HOS,Iridium,UI"/>
    <x v="0"/>
    <x v="5"/>
    <x v="62"/>
    <x v="39"/>
    <x v="0"/>
    <x v="25"/>
    <x v="1"/>
    <s v="Ford Ranger 2016 4x2 XL D/C W/S"/>
    <s v="OK"/>
    <d v="2025-11-14T17:50:47"/>
    <d v="2025-11-14T20:22:57"/>
  </r>
  <r>
    <x v="67"/>
    <x v="16"/>
    <s v="b186"/>
    <s v="William (Billy)"/>
    <s v="Gibson"/>
    <s v="william.gibson"/>
    <s v="Standard Hours"/>
    <s v="Stopped"/>
    <b v="0"/>
    <s v="183 Ngunguru Ford Road, Kiripaka 0173, New Zealand"/>
    <n v="0"/>
    <x v="62"/>
    <d v="1900-01-05T21:28:13"/>
    <x v="67"/>
    <x v="0"/>
    <b v="0"/>
    <s v="GO Mode,Garmin,HOS,Iridium,UI"/>
    <x v="0"/>
    <x v="5"/>
    <x v="63"/>
    <x v="40"/>
    <x v="0"/>
    <x v="26"/>
    <x v="1"/>
    <s v="Ford Ranger 2015 4x2 XL D/C W/S"/>
    <s v="OK"/>
    <d v="2025-11-14T18:03:46"/>
    <d v="2025-11-14T20:35:53"/>
  </r>
  <r>
    <x v="68"/>
    <x v="21"/>
    <s v="b18C"/>
    <s v="Cameron"/>
    <s v="Hinge"/>
    <s v="cameron.hinge@unitedcivil.co.nz"/>
    <s v="Standard Hours"/>
    <s v="Stopped"/>
    <b v="0"/>
    <s v="42 Great North Road, Te Kamo, Whangārei 0112, New Zealand"/>
    <n v="0"/>
    <x v="63"/>
    <d v="1900-05-22T08:54:00"/>
    <x v="68"/>
    <x v="0"/>
    <b v="0"/>
    <s v="GO Mode,Garmin,HOS,Iridium,UI"/>
    <x v="0"/>
    <x v="1"/>
    <x v="64"/>
    <x v="41"/>
    <x v="0"/>
    <x v="27"/>
    <x v="1"/>
    <s v="Ford Ranger 2020 4x2 XLT D/C W/S"/>
    <s v="OK"/>
    <d v="2025-11-14T15:46:39"/>
    <d v="2025-11-14T20:18:47"/>
  </r>
  <r>
    <x v="69"/>
    <x v="16"/>
    <s v="bD8"/>
    <s v="Luke"/>
    <s v="Ryder"/>
    <s v="luke.ryder"/>
    <s v="Standard Hours"/>
    <s v="Stopped"/>
    <b v="0"/>
    <s v="629C Owhiwa Road, Parua Bay 0192, New Zealand"/>
    <n v="0"/>
    <x v="64"/>
    <d v="1900-01-10T04:16:10"/>
    <x v="69"/>
    <x v="0"/>
    <b v="0"/>
    <s v="GO Mode,Garmin,HOS,Iridium,UI"/>
    <x v="0"/>
    <x v="1"/>
    <x v="65"/>
    <x v="42"/>
    <x v="0"/>
    <x v="28"/>
    <x v="1"/>
    <s v="Mazda BT-50 2018 4x2 GLX Cabplus F/D"/>
    <s v="OK"/>
    <d v="2025-11-14T15:23:09"/>
    <d v="2025-11-14T20:25:23"/>
  </r>
  <r>
    <x v="70"/>
    <x v="19"/>
    <s v="b195"/>
    <s v="Daniel"/>
    <s v="Hemara"/>
    <s v="daniel.hemara@unitedcivil.co.nz"/>
    <s v="Standard Hours"/>
    <s v="Stopped"/>
    <b v="0"/>
    <s v="27 Kaitara Lane, Kaiwaka 0573, New Zealand"/>
    <n v="0"/>
    <x v="65"/>
    <d v="1900-04-24T14:00:00"/>
    <x v="70"/>
    <x v="0"/>
    <b v="0"/>
    <s v="GO Mode,Garmin,HOS,Iridium,UI"/>
    <x v="0"/>
    <x v="5"/>
    <x v="66"/>
    <x v="43"/>
    <x v="0"/>
    <x v="29"/>
    <x v="1"/>
    <s v="Ford Ranger 2020 4x4 XLT D/C W/S"/>
    <s v="OK"/>
    <d v="2025-11-14T18:12:00"/>
    <d v="2025-11-14T20:14:13"/>
  </r>
  <r>
    <x v="71"/>
    <x v="22"/>
    <s v="bCB"/>
    <s v="Zain"/>
    <s v="Kader"/>
    <s v="zain.kader@unitedcivil.co.nz"/>
    <s v="Standard Hours"/>
    <s v="Stopped"/>
    <b v="0"/>
    <s v="14 Pataua Street, Pataua South 0192, New Zealand"/>
    <n v="0"/>
    <x v="66"/>
    <d v="1900-01-05T12:57:58"/>
    <x v="71"/>
    <x v="0"/>
    <b v="0"/>
    <s v="GO Mode,Garmin,HOS,Iridium,UI"/>
    <x v="0"/>
    <x v="1"/>
    <x v="67"/>
    <x v="44"/>
    <x v="0"/>
    <x v="30"/>
    <x v="1"/>
    <s v="Toyota Corolla 2020 SX Hybrid"/>
    <s v="OK"/>
    <d v="2025-11-14T18:06:22"/>
    <d v="2025-11-14T20:38:23"/>
  </r>
  <r>
    <x v="72"/>
    <x v="20"/>
    <s v="bE3"/>
    <s v="Gerrie"/>
    <s v="Van Der Linde"/>
    <s v="gerrie.vanderlinde@unitedcivil.co.nz"/>
    <s v="Standard Hours"/>
    <s v="Stopped"/>
    <b v="0"/>
    <s v="67 Monk Road, Mangapai 0178, New Zealand"/>
    <n v="0"/>
    <x v="67"/>
    <d v="1900-04-02T01:42:00"/>
    <x v="72"/>
    <x v="0"/>
    <b v="0"/>
    <s v="GO Mode,Garmin,HOS,Iridium,UI"/>
    <x v="0"/>
    <x v="1"/>
    <x v="68"/>
    <x v="45"/>
    <x v="0"/>
    <x v="31"/>
    <x v="1"/>
    <s v="Ford Ranger 2021 4x2 XLT D/C W/S"/>
    <s v="OK"/>
    <d v="2025-11-14T16:35:22"/>
    <d v="2025-11-14T20:37:31"/>
  </r>
  <r>
    <x v="73"/>
    <x v="20"/>
    <s v="bDA"/>
    <s v="Peter"/>
    <s v="Hughes"/>
    <s v="peter.hughes@unitedcivil.co.nz"/>
    <s v="Standard Hours"/>
    <s v="Stopped"/>
    <b v="0"/>
    <s v="45A Landowners Lane, Whangarei 0173, New Zealand"/>
    <n v="0"/>
    <x v="68"/>
    <d v="1900-03-26T16:42:00"/>
    <x v="73"/>
    <x v="0"/>
    <b v="0"/>
    <s v="GO Mode,Garmin,HOS,Iridium,UI"/>
    <x v="0"/>
    <x v="7"/>
    <x v="69"/>
    <x v="46"/>
    <x v="0"/>
    <x v="32"/>
    <x v="1"/>
    <s v="Ford Ranger 2021 4x2 XLT D/C W/S"/>
    <s v="OK"/>
    <d v="2025-11-10T08:00:58"/>
    <d v="2025-11-14T20:29:38"/>
  </r>
  <r>
    <x v="74"/>
    <x v="20"/>
    <s v="bB2"/>
    <s v="Wayne"/>
    <s v="Pepperell"/>
    <s v="wayne.pepperell@unitedcivil.co.nz"/>
    <s v="Standard Hours"/>
    <s v="Stopped"/>
    <b v="0"/>
    <s v="24 Angus Lane, Te Kamo, Whangārei 0112, New Zealand"/>
    <n v="0"/>
    <x v="69"/>
    <d v="1900-04-24T03:00:00"/>
    <x v="74"/>
    <x v="0"/>
    <b v="0"/>
    <s v="GO Mode,Garmin,HOS,Iridium,UI"/>
    <x v="0"/>
    <x v="7"/>
    <x v="70"/>
    <x v="47"/>
    <x v="0"/>
    <x v="33"/>
    <x v="1"/>
    <s v="Ford Ranger 2021 4x2 XLT D/C W/S"/>
    <s v="OK"/>
    <d v="2025-11-14T17:34:00"/>
    <d v="2025-11-14T20:36:07"/>
  </r>
  <r>
    <x v="75"/>
    <x v="23"/>
    <s v="b1C3"/>
    <n v="0"/>
    <n v="0"/>
    <n v="0"/>
    <s v="Standard Hours"/>
    <n v="0"/>
    <b v="0"/>
    <n v="0"/>
    <n v="0"/>
    <x v="70"/>
    <d v="1899-12-30T00:00:00"/>
    <x v="75"/>
    <x v="0"/>
    <b v="0"/>
    <n v="0"/>
    <x v="1"/>
    <x v="2"/>
    <x v="2"/>
    <x v="48"/>
    <x v="0"/>
    <x v="34"/>
    <x v="0"/>
    <s v="Ford Ranger 2021 4x4 XLT DC WS"/>
    <n v="0"/>
    <d v="1899-12-30T00:00:00"/>
    <s v=""/>
  </r>
  <r>
    <x v="76"/>
    <x v="24"/>
    <s v="bE2"/>
    <s v="James"/>
    <s v="McCarthy"/>
    <s v="james.mccarthy@unitedcivil.co.nz"/>
    <s v="Standard Hours"/>
    <s v="Stopped"/>
    <b v="0"/>
    <s v="586 Swamp Road, Puketapu 4183, New Zealand"/>
    <n v="0"/>
    <x v="71"/>
    <d v="1900-04-21T15:54:00"/>
    <x v="76"/>
    <x v="0"/>
    <b v="0"/>
    <s v="GO Mode,Garmin,HOS,Iridium,UI"/>
    <x v="0"/>
    <x v="1"/>
    <x v="71"/>
    <x v="49"/>
    <x v="0"/>
    <x v="35"/>
    <x v="1"/>
    <s v="Ford Ranger 2021 4x4 XLT D/C W/S"/>
    <s v="OK"/>
    <d v="2025-11-14T18:44:50"/>
    <d v="2025-11-14T20:16:59"/>
  </r>
  <r>
    <x v="77"/>
    <x v="21"/>
    <s v="b182"/>
    <s v="Nick"/>
    <s v="Ashurst"/>
    <s v="nick.ashurst@unitedcivil.co.nz"/>
    <s v="Standard Hours"/>
    <s v="Stopped"/>
    <b v="0"/>
    <s v="United Civil Head Office: 19B Rewa Rewa Road, Raumanga, Whangārei 0110, New Zealand"/>
    <s v="Office Zone"/>
    <x v="72"/>
    <d v="1900-03-09T07:30:00"/>
    <x v="77"/>
    <x v="0"/>
    <b v="0"/>
    <s v="GO Mode,Garmin,HOS,Iridium,UI"/>
    <x v="0"/>
    <x v="5"/>
    <x v="72"/>
    <x v="50"/>
    <x v="0"/>
    <x v="36"/>
    <x v="1"/>
    <s v="Ford Ranger 2021 4x2 XLT D/C W/S"/>
    <s v="OK"/>
    <d v="2025-11-14T18:51:16"/>
    <d v="2025-11-14T20:23:26"/>
  </r>
  <r>
    <x v="78"/>
    <x v="21"/>
    <s v="bD2"/>
    <s v="Iri"/>
    <s v="Ritchie"/>
    <s v="iri.ritchie@unitedcivil.co.nz"/>
    <s v="Standard Hours"/>
    <s v="Stopped"/>
    <b v="0"/>
    <s v="1294 Taihape Road, Sherenden 4179, New Zealand"/>
    <n v="0"/>
    <x v="73"/>
    <d v="1900-03-10T13:24:00"/>
    <x v="78"/>
    <x v="0"/>
    <b v="0"/>
    <s v="GO Mode,Garmin,HOS,Iridium,UI"/>
    <x v="0"/>
    <x v="1"/>
    <x v="73"/>
    <x v="51"/>
    <x v="0"/>
    <x v="37"/>
    <x v="1"/>
    <s v="Ford Ranger 2021 4x2 XLT D/C W/S"/>
    <s v="OK"/>
    <d v="2025-11-14T16:19:15"/>
    <d v="2025-11-14T20:21:58"/>
  </r>
  <r>
    <x v="79"/>
    <x v="16"/>
    <s v="bF9"/>
    <n v="0"/>
    <n v="0"/>
    <n v="0"/>
    <s v="Standard Hours"/>
    <s v="Stopped"/>
    <b v="0"/>
    <s v="28 Waro Drive, Hikurangi 0114, New Zealand"/>
    <n v="0"/>
    <x v="74"/>
    <d v="1900-01-09T22:48:17"/>
    <x v="79"/>
    <x v="0"/>
    <b v="0"/>
    <s v="GO Mode,Garmin,HOS,Iridium,UI"/>
    <x v="0"/>
    <x v="1"/>
    <x v="74"/>
    <x v="52"/>
    <x v="0"/>
    <x v="38"/>
    <x v="1"/>
    <s v="Toyota Hilux 2022 4x2 SR D/C W/S"/>
    <s v="OK"/>
    <d v="2025-11-14T16:52:37"/>
    <d v="2025-11-14T20:24:24"/>
  </r>
  <r>
    <x v="80"/>
    <x v="16"/>
    <s v="b11A"/>
    <n v="0"/>
    <n v="0"/>
    <n v="0"/>
    <s v="Standard Hours"/>
    <s v="Stopped"/>
    <b v="0"/>
    <s v="179 Otaika Road, Raumanga, Whangārei 0110, New Zealand"/>
    <n v="0"/>
    <x v="75"/>
    <d v="1900-01-15T05:47:48"/>
    <x v="80"/>
    <x v="0"/>
    <b v="0"/>
    <s v="GO Mode,Garmin,HOS,Iridium,UI"/>
    <x v="0"/>
    <x v="1"/>
    <x v="75"/>
    <x v="53"/>
    <x v="0"/>
    <x v="39"/>
    <x v="1"/>
    <s v="Toyota Hilux 2022 4x2 SR D/C W/S"/>
    <s v="OK"/>
    <d v="2025-11-14T20:24:34"/>
    <d v="2025-11-14T20:24:57"/>
  </r>
  <r>
    <x v="81"/>
    <x v="19"/>
    <s v="b188"/>
    <s v="Mark"/>
    <s v="Olsen"/>
    <s v="mark.olsen@unitedcivil.co.nz"/>
    <s v="Standard Hours"/>
    <s v="Stopped"/>
    <b v="0"/>
    <s v="11 Shoebridge Crescent, Ngunguru 0173, New Zealand"/>
    <n v="0"/>
    <x v="76"/>
    <d v="1900-01-11T09:02:47"/>
    <x v="81"/>
    <x v="0"/>
    <b v="0"/>
    <s v="GO Mode,Garmin,HOS,Iridium,UI"/>
    <x v="0"/>
    <x v="1"/>
    <x v="76"/>
    <x v="54"/>
    <x v="0"/>
    <x v="40"/>
    <x v="1"/>
    <s v="Toyota Hilux 2022 4x2 SR D/C W/S"/>
    <s v="OK"/>
    <d v="2025-11-14T11:36:17"/>
    <d v="2025-11-14T20:38:01"/>
  </r>
  <r>
    <x v="82"/>
    <x v="19"/>
    <s v="b18B"/>
    <s v="Gary"/>
    <s v="Blackwood"/>
    <s v="gary.blackwood@unitedcivil.co.nz"/>
    <s v="Standard Hours"/>
    <s v="Stopped"/>
    <b v="0"/>
    <s v="5 Taniwha Street, Taupō 3330, New Zealand"/>
    <n v="0"/>
    <x v="77"/>
    <d v="1900-01-06T10:51:49"/>
    <x v="82"/>
    <x v="0"/>
    <b v="0"/>
    <s v="GO Mode,Garmin,HOS,Iridium,UI"/>
    <x v="0"/>
    <x v="1"/>
    <x v="77"/>
    <x v="55"/>
    <x v="0"/>
    <x v="41"/>
    <x v="1"/>
    <s v="Toyota Hilux 2022 4x2 SR D/C W/S"/>
    <s v="OK"/>
    <d v="2025-11-14T15:19:32"/>
    <d v="2025-11-14T20:21:13"/>
  </r>
  <r>
    <x v="83"/>
    <x v="16"/>
    <s v="b181"/>
    <s v="Berne"/>
    <s v="Connelly"/>
    <s v="berne.connelly"/>
    <s v="Standard Hours"/>
    <s v="Stopped"/>
    <b v="0"/>
    <s v="Kaikohe Work Area: 31 Harold Avenue, Kaikohe 0405, New Zealand"/>
    <s v="Project"/>
    <x v="78"/>
    <d v="1900-01-18T02:52:56"/>
    <x v="83"/>
    <x v="0"/>
    <b v="0"/>
    <s v="GO Mode,Garmin,HOS,Iridium,UI"/>
    <x v="0"/>
    <x v="1"/>
    <x v="78"/>
    <x v="56"/>
    <x v="0"/>
    <x v="42"/>
    <x v="1"/>
    <s v="Toyota Hilux 2022 4x2 SR D/C W/S"/>
    <s v="OK"/>
    <d v="2025-11-14T16:45:08"/>
    <d v="2025-11-14T20:16:59"/>
  </r>
  <r>
    <x v="84"/>
    <x v="18"/>
    <s v="bCA"/>
    <s v="Engelbert"/>
    <s v="Van Schalkwyk"/>
    <s v="engelbert.vanschalkwyk@unitedcivil.co.nz"/>
    <s v="Standard Hours"/>
    <s v="Stopped"/>
    <b v="0"/>
    <s v="101 Church Street, Onerahi, Whangārei 0110, New Zealand"/>
    <n v="0"/>
    <x v="79"/>
    <d v="1900-01-19T19:38:11"/>
    <x v="84"/>
    <x v="0"/>
    <b v="0"/>
    <s v="GO Mode,Garmin,HOS,Iridium,UI"/>
    <x v="0"/>
    <x v="1"/>
    <x v="79"/>
    <x v="57"/>
    <x v="0"/>
    <x v="43"/>
    <x v="1"/>
    <s v="Toyota Hilux 2019 4x2 SR D/C W/S"/>
    <s v="OK"/>
    <d v="2025-11-14T16:45:26"/>
    <d v="2025-11-14T20:17:35"/>
  </r>
  <r>
    <x v="85"/>
    <x v="15"/>
    <s v="b119"/>
    <s v="Rico"/>
    <s v="Cemino"/>
    <s v="rico.cemino"/>
    <s v="Standard Hours"/>
    <s v="Stopped"/>
    <b v="0"/>
    <s v="179 Otaika Road, Raumanga, Whangārei 0110, New Zealand"/>
    <n v="0"/>
    <x v="80"/>
    <d v="1900-01-11T11:38:21"/>
    <x v="85"/>
    <x v="0"/>
    <b v="0"/>
    <s v="GO Mode,Garmin,HOS,Iridium,UI"/>
    <x v="0"/>
    <x v="1"/>
    <x v="80"/>
    <x v="58"/>
    <x v="0"/>
    <x v="0"/>
    <x v="1"/>
    <s v="Isuzu D-Max 2013 4X2 LS D/C W/S"/>
    <s v="OK"/>
    <d v="2025-11-14T17:00:47"/>
    <d v="2025-11-14T20:32:49"/>
  </r>
  <r>
    <x v="86"/>
    <x v="25"/>
    <s v="b189"/>
    <s v="Michael"/>
    <s v="Polglase"/>
    <s v="michael.polglase@unitedcivil.co.nz"/>
    <s v="Standard Hours"/>
    <s v="Stopped"/>
    <b v="0"/>
    <s v="28 Mountain Road, Morningside, Whangārei 0110, New Zealand"/>
    <n v="0"/>
    <x v="81"/>
    <d v="1900-01-24T18:05:29"/>
    <x v="86"/>
    <x v="0"/>
    <b v="0"/>
    <s v="GO Mode,Garmin,HOS,Iridium,UI"/>
    <x v="0"/>
    <x v="5"/>
    <x v="81"/>
    <x v="59"/>
    <x v="0"/>
    <x v="44"/>
    <x v="1"/>
    <s v="BYD Atto 3 2023 Extended Range"/>
    <s v="OK"/>
    <d v="2025-11-14T17:02:56"/>
    <d v="2025-11-14T20:34:33"/>
  </r>
  <r>
    <x v="87"/>
    <x v="26"/>
    <s v="b2"/>
    <s v="Tom"/>
    <s v="Collis"/>
    <s v="tom.collis@unitedcivil.co.nz"/>
    <s v="Standard Hours"/>
    <s v="Stopped"/>
    <b v="0"/>
    <s v="United Civil Head Office: 19B Rewa Rewa Road, Raumanga, Whangārei 0110, New Zealand"/>
    <s v="Office Zone"/>
    <x v="82"/>
    <d v="1900-03-06T08:15:50"/>
    <x v="87"/>
    <x v="0"/>
    <b v="0"/>
    <s v="GO Mode,Garmin,HOS,Iridium,UI"/>
    <x v="0"/>
    <x v="1"/>
    <x v="82"/>
    <x v="60"/>
    <x v="0"/>
    <x v="45"/>
    <x v="1"/>
    <s v="BYD Atto 3 2023 Extended Range"/>
    <s v="OK"/>
    <d v="2025-11-14T13:58:08"/>
    <d v="2025-11-14T20:38:14"/>
  </r>
  <r>
    <x v="88"/>
    <x v="27"/>
    <s v="b16F"/>
    <s v="Tania"/>
    <s v="Tipene"/>
    <s v="tania.tipene@unitedcivil.co.nz"/>
    <s v="Standard Hours"/>
    <s v="Stopped"/>
    <b v="0"/>
    <s v="134 Otaika Road, Raumanga, Whangārei 0110, New Zealand"/>
    <n v="0"/>
    <x v="83"/>
    <d v="1900-01-03T21:49:49"/>
    <x v="88"/>
    <x v="0"/>
    <b v="0"/>
    <s v="GO Mode,Garmin,HOS,Iridium,UI"/>
    <x v="0"/>
    <x v="7"/>
    <x v="83"/>
    <x v="61"/>
    <x v="0"/>
    <x v="46"/>
    <x v="1"/>
    <s v="Tesla Model Y 2023"/>
    <s v="OK"/>
    <d v="2025-11-14T17:02:46"/>
    <d v="2025-11-14T20:34:35"/>
  </r>
  <r>
    <x v="89"/>
    <x v="28"/>
    <s v="b1A1"/>
    <n v="0"/>
    <n v="0"/>
    <n v="0"/>
    <s v="Standard Hours"/>
    <s v="Stopped"/>
    <b v="0"/>
    <s v="18 Western View Heights, Horahora, Whangārei 0110, New Zealand"/>
    <n v="0"/>
    <x v="84"/>
    <d v="1900-01-04T01:55:59"/>
    <x v="89"/>
    <x v="0"/>
    <b v="0"/>
    <s v="GO Mode,Garmin,HOS,Iridium,UI"/>
    <x v="0"/>
    <x v="1"/>
    <x v="84"/>
    <x v="62"/>
    <x v="0"/>
    <x v="47"/>
    <x v="1"/>
    <s v="Tesla Model Y 2024"/>
    <s v="OK"/>
    <d v="2025-11-14T17:20:54"/>
    <d v="2025-11-14T20:22:43"/>
  </r>
  <r>
    <x v="90"/>
    <x v="27"/>
    <s v="bF3"/>
    <s v="Tony"/>
    <s v="Abiad"/>
    <s v="tony.abiad@unitedcivil.co.nz"/>
    <s v="Standard Hours"/>
    <s v="Stopped"/>
    <b v="0"/>
    <s v="510 Hart Drive, Frimley, Hastings 4120, New Zealand"/>
    <n v="0"/>
    <x v="85"/>
    <d v="1900-01-07T05:16:03"/>
    <x v="90"/>
    <x v="0"/>
    <b v="0"/>
    <s v="GO Mode,Garmin,HOS,Iridium,UI"/>
    <x v="0"/>
    <x v="5"/>
    <x v="85"/>
    <x v="63"/>
    <x v="0"/>
    <x v="48"/>
    <x v="1"/>
    <s v="Tesla Model Y 2023"/>
    <s v="OK"/>
    <d v="2025-11-04T17:00:54"/>
    <d v="2025-11-14T20:35:05"/>
  </r>
  <r>
    <x v="91"/>
    <x v="19"/>
    <s v="bFD"/>
    <s v="Arthur"/>
    <s v="Ruedi"/>
    <s v="arthur.ruedi@unitedcivil.co.nz"/>
    <s v="Standard Hours"/>
    <s v="Stopped"/>
    <b v="0"/>
    <s v="69B Sands Road, Whareora 0173, New Zealand"/>
    <n v="0"/>
    <x v="86"/>
    <d v="1900-01-14T07:54:29"/>
    <x v="91"/>
    <x v="0"/>
    <b v="0"/>
    <s v="GO Mode,Garmin,HOS,Iridium,UI"/>
    <x v="0"/>
    <x v="1"/>
    <x v="86"/>
    <x v="64"/>
    <x v="0"/>
    <x v="49"/>
    <x v="1"/>
    <s v="Toyota Hilux 2024 4x2 SR D/C W/S"/>
    <s v="OK"/>
    <d v="2025-11-14T19:41:19"/>
    <d v="2025-11-14T20:12:59"/>
  </r>
  <r>
    <x v="92"/>
    <x v="21"/>
    <s v="b111"/>
    <s v="Josh"/>
    <s v="Welch"/>
    <s v="josh.welch@unitedcivil.co.nz"/>
    <s v="Standard Hours"/>
    <s v="Stopped"/>
    <b v="0"/>
    <s v="91 Fisher Terrace, Te Kamo, Whangārei 0112, New Zealand"/>
    <n v="0"/>
    <x v="87"/>
    <d v="1900-01-21T19:08:41"/>
    <x v="92"/>
    <x v="0"/>
    <b v="0"/>
    <s v="GO Mode,Garmin,HOS,Iridium,UI"/>
    <x v="0"/>
    <x v="1"/>
    <x v="87"/>
    <x v="65"/>
    <x v="0"/>
    <x v="50"/>
    <x v="1"/>
    <s v="Toyota Hilux 2024 4x2 SR D/C W/S"/>
    <s v="OK"/>
    <d v="2025-11-14T18:08:46"/>
    <d v="2025-11-14T20:40:35"/>
  </r>
  <r>
    <x v="93"/>
    <x v="19"/>
    <s v="b10B"/>
    <s v="Lyle"/>
    <s v="McGaughey"/>
    <s v="lyle.mcgaughey@unitedcivil.co.nz"/>
    <s v="Standard Hours"/>
    <s v="Stopped"/>
    <b v="0"/>
    <s v="34 Fisher Terrace, Te Kamo, Whangārei 0112, New Zealand"/>
    <n v="0"/>
    <x v="88"/>
    <d v="1900-01-13T05:59:33"/>
    <x v="93"/>
    <x v="0"/>
    <b v="0"/>
    <s v="GO Mode,Garmin,HOS,Iridium,UI"/>
    <x v="0"/>
    <x v="1"/>
    <x v="88"/>
    <x v="66"/>
    <x v="0"/>
    <x v="51"/>
    <x v="1"/>
    <s v="Toyota Hilux 2024 4x2 SR D/C W/S"/>
    <s v="OK"/>
    <d v="2025-11-14T16:00:14"/>
    <d v="2025-11-14T20:32:17"/>
  </r>
  <r>
    <x v="94"/>
    <x v="21"/>
    <s v="bFA"/>
    <s v="Cameron"/>
    <s v="Wood"/>
    <s v="cameron.wood@unitedcivil.co.nz"/>
    <s v="Standard Hours"/>
    <s v="Stopped"/>
    <b v="0"/>
    <s v="39 Whau Valley Road, Whau Valley, Whangārei 0112, New Zealand"/>
    <n v="0"/>
    <x v="89"/>
    <d v="1900-01-16T00:17:22"/>
    <x v="94"/>
    <x v="0"/>
    <b v="0"/>
    <s v="GO Mode,Garmin,HOS,Iridium,UI"/>
    <x v="0"/>
    <x v="1"/>
    <x v="89"/>
    <x v="67"/>
    <x v="0"/>
    <x v="52"/>
    <x v="1"/>
    <s v="Toyota Hilux 2024 4x2 SR D/C W/S"/>
    <s v="OK"/>
    <d v="2025-11-14T14:14:56"/>
    <d v="2025-11-14T20:16:45"/>
  </r>
  <r>
    <x v="95"/>
    <x v="27"/>
    <s v="b185"/>
    <s v="Rob"/>
    <s v="Wilson"/>
    <s v="rob.wilson@unitedcivil.co.nz"/>
    <s v="Standard Hours"/>
    <s v="Stopped"/>
    <b v="0"/>
    <s v="206 Eastbourne Street East, Hastings 4122, New Zealand"/>
    <n v="0"/>
    <x v="90"/>
    <d v="1900-01-10T08:33:44"/>
    <x v="95"/>
    <x v="0"/>
    <b v="0"/>
    <s v="GO Mode,Garmin,HOS,Iridium,UI"/>
    <x v="0"/>
    <x v="5"/>
    <x v="90"/>
    <x v="68"/>
    <x v="0"/>
    <x v="53"/>
    <x v="1"/>
    <s v="Tesla Model Y 2023"/>
    <s v="OK"/>
    <d v="2025-11-14T17:39:09"/>
    <d v="2025-11-14T20:41:00"/>
  </r>
  <r>
    <x v="96"/>
    <x v="16"/>
    <s v="bD5"/>
    <s v="Matthew"/>
    <s v="Oud"/>
    <s v="matthew.oud@unitedcivil.co.nz"/>
    <s v="Standard Hours"/>
    <s v="Stopped"/>
    <b v="0"/>
    <s v="36 Waterview Ridge, Waipu 0582, New Zealand"/>
    <n v="0"/>
    <x v="91"/>
    <d v="1900-01-19T01:08:53"/>
    <x v="96"/>
    <x v="0"/>
    <b v="0"/>
    <s v="GO Mode,Garmin,HOS,Iridium,UI"/>
    <x v="0"/>
    <x v="1"/>
    <x v="91"/>
    <x v="69"/>
    <x v="0"/>
    <x v="54"/>
    <x v="1"/>
    <s v="Toyota Hilux 2024 SR 2.8DT 6MT 4WD"/>
    <s v="OK"/>
    <d v="2025-11-14T19:40:38"/>
    <d v="2025-11-14T20:42:30"/>
  </r>
  <r>
    <x v="97"/>
    <x v="27"/>
    <s v="bE0"/>
    <s v="Lee"/>
    <s v="Clasper"/>
    <s v="lee.clasper@unitedcivil.co.nz"/>
    <s v="Standard Hours"/>
    <s v="Stopped"/>
    <b v="0"/>
    <s v="147 Kirkbride Road, Māngere, Auckland 2022, New Zealand"/>
    <n v="0"/>
    <x v="92"/>
    <d v="1900-01-09T14:35:13"/>
    <x v="97"/>
    <x v="0"/>
    <b v="0"/>
    <s v="GO Mode,Garmin,HOS,Iridium,UI"/>
    <x v="0"/>
    <x v="5"/>
    <x v="92"/>
    <x v="70"/>
    <x v="0"/>
    <x v="55"/>
    <x v="1"/>
    <s v="Tesla Model Y 2024"/>
    <s v="OK"/>
    <d v="2025-11-14T11:49:58"/>
    <d v="2025-11-14T20:15:36"/>
  </r>
  <r>
    <x v="98"/>
    <x v="27"/>
    <s v="bD0"/>
    <s v="Alex"/>
    <s v="Fitch"/>
    <s v="alex.fitch@unitedcivil.co.nz"/>
    <s v="Standard Hours"/>
    <s v="Stopped"/>
    <b v="0"/>
    <s v="79 Maturiki Drive, Ruakākā 0118, New Zealand"/>
    <n v="0"/>
    <x v="93"/>
    <d v="1900-01-15T02:07:15"/>
    <x v="98"/>
    <x v="0"/>
    <b v="0"/>
    <s v="GO Mode,Garmin,HOS,Iridium,UI"/>
    <x v="0"/>
    <x v="5"/>
    <x v="93"/>
    <x v="71"/>
    <x v="0"/>
    <x v="56"/>
    <x v="1"/>
    <s v="Tesla Model Y 2024"/>
    <s v="OK"/>
    <d v="2025-11-14T18:39:11"/>
    <d v="2025-11-14T20:41:00"/>
  </r>
  <r>
    <x v="99"/>
    <x v="29"/>
    <s v="b18E"/>
    <s v="Akash"/>
    <s v="Nada"/>
    <s v="akash.nada@unitedcivil.co.nz"/>
    <s v="Standard Hours"/>
    <s v="Stopped"/>
    <b v="0"/>
    <s v="103 Kiripaka Road, Tikipunga, Whangārei 0112, New Zealand"/>
    <n v="0"/>
    <x v="94"/>
    <d v="1900-01-20T18:04:41"/>
    <x v="99"/>
    <x v="0"/>
    <b v="0"/>
    <s v="GO Mode,Garmin,HOS,Iridium,UI"/>
    <x v="0"/>
    <x v="1"/>
    <x v="94"/>
    <x v="72"/>
    <x v="0"/>
    <x v="57"/>
    <x v="1"/>
    <s v="BYD Atto 3 2023 Extended Range"/>
    <s v="OK"/>
    <d v="2025-11-14T19:45:07"/>
    <d v="2025-11-14T20:33:03"/>
  </r>
  <r>
    <x v="100"/>
    <x v="30"/>
    <s v="b130"/>
    <s v="Jacob"/>
    <s v="Dunn"/>
    <s v="jacob.dunn@unitedcivil.co.nz"/>
    <s v="Standard Hours"/>
    <s v="Stopped"/>
    <b v="0"/>
    <s v="18 Charis Lane, Wellsford 0975, New Zealand"/>
    <n v="0"/>
    <x v="95"/>
    <d v="1900-01-17T00:19:47"/>
    <x v="100"/>
    <x v="0"/>
    <b v="0"/>
    <s v="GO Mode,Garmin,HOS,Iridium,UI"/>
    <x v="0"/>
    <x v="5"/>
    <x v="95"/>
    <x v="73"/>
    <x v="0"/>
    <x v="58"/>
    <x v="1"/>
    <s v="BYD Shark 2025"/>
    <s v="OK"/>
    <d v="2025-11-14T17:29:23"/>
    <d v="2025-11-14T20:36:22"/>
  </r>
  <r>
    <x v="101"/>
    <x v="31"/>
    <s v="b131"/>
    <s v="Grant"/>
    <s v="Little"/>
    <s v="grant.little@unitedcivil.co.nz"/>
    <s v="Standard Hours"/>
    <s v="Stopped"/>
    <b v="0"/>
    <s v="97 Hospital Road, Horahora, Whangārei 0110, New Zealand"/>
    <n v="0"/>
    <x v="96"/>
    <d v="1900-01-10T02:55:44"/>
    <x v="101"/>
    <x v="0"/>
    <b v="0"/>
    <s v="GO Mode,Garmin,HOS,Iridium,UI"/>
    <x v="0"/>
    <x v="1"/>
    <x v="96"/>
    <x v="74"/>
    <x v="0"/>
    <x v="59"/>
    <x v="1"/>
    <s v="BYD Shark 2025"/>
    <s v="OK"/>
    <d v="2025-11-14T20:24:44"/>
    <d v="2025-11-14T20:25:07"/>
  </r>
  <r>
    <x v="102"/>
    <x v="32"/>
    <s v="b19A"/>
    <s v="Paul"/>
    <s v="Mandeno"/>
    <s v="paul.mandeno@unitedcivil.co.nz"/>
    <s v="Standard Hours"/>
    <s v="Stopped"/>
    <b v="0"/>
    <s v="United Civil Head Office: 19B Rewa Rewa Road, Raumanga, Whangārei 0110, New Zealand"/>
    <s v="Office Zone"/>
    <x v="97"/>
    <d v="1900-01-05T17:14:04"/>
    <x v="102"/>
    <x v="0"/>
    <b v="0"/>
    <s v="GO Mode,Garmin,HOS,Iridium,UI"/>
    <x v="0"/>
    <x v="7"/>
    <x v="97"/>
    <x v="0"/>
    <x v="0"/>
    <x v="60"/>
    <x v="1"/>
    <s v="Tesla Model Y 2022"/>
    <s v="OK"/>
    <d v="2025-11-14T07:45:29"/>
    <d v="2025-11-14T20:17:28"/>
  </r>
  <r>
    <x v="103"/>
    <x v="19"/>
    <s v="b1A0"/>
    <n v="0"/>
    <n v="0"/>
    <n v="0"/>
    <s v="Standard Hours"/>
    <s v="Stopped"/>
    <b v="0"/>
    <s v="5 View Street, Maungaturoto 0520, New Zealand"/>
    <n v="0"/>
    <x v="98"/>
    <d v="1900-01-23T16:50:35"/>
    <x v="103"/>
    <x v="0"/>
    <b v="0"/>
    <s v="GO Mode,Garmin,HOS,Iridium,UI"/>
    <x v="0"/>
    <x v="1"/>
    <x v="98"/>
    <x v="75"/>
    <x v="0"/>
    <x v="61"/>
    <x v="1"/>
    <s v="Toyota Hilux 2025 4x2 SR D/C W/S"/>
    <s v="OK"/>
    <d v="2025-11-14T19:24:16"/>
    <d v="2025-11-14T20:25:59"/>
  </r>
  <r>
    <x v="104"/>
    <x v="19"/>
    <s v="b198"/>
    <s v="Andrew"/>
    <s v="Davidson"/>
    <s v="andrew.davidson@unitedcivil.co.nz"/>
    <s v="Standard Hours"/>
    <s v="Stopped"/>
    <b v="0"/>
    <s v="64B Mission Road, Kerikeri 0230, New Zealand"/>
    <n v="0"/>
    <x v="99"/>
    <d v="1900-01-10T19:43:41"/>
    <x v="104"/>
    <x v="0"/>
    <b v="0"/>
    <s v="GO Mode,Garmin,HOS,Iridium,UI"/>
    <x v="0"/>
    <x v="1"/>
    <x v="99"/>
    <x v="76"/>
    <x v="0"/>
    <x v="62"/>
    <x v="1"/>
    <s v="Toyota Hilux 2025 4x2 SR D/C W/S"/>
    <s v="OK"/>
    <d v="2025-11-12T17:40:51"/>
    <d v="2025-11-14T20:12:37"/>
  </r>
  <r>
    <x v="105"/>
    <x v="33"/>
    <s v="b192"/>
    <s v="Oliver"/>
    <s v="Copsey"/>
    <s v="oliver.copsey@unitedcivil.co.nz"/>
    <s v="Standard Hours"/>
    <s v="Stopped"/>
    <b v="0"/>
    <s v="63 Freyberg Avenue, Tamatea, Napier 4112, New Zealand"/>
    <n v="0"/>
    <x v="100"/>
    <d v="1900-01-05T22:29:30"/>
    <x v="105"/>
    <x v="0"/>
    <b v="0"/>
    <s v="GO Mode,Garmin,HOS,Iridium,UI"/>
    <x v="0"/>
    <x v="1"/>
    <x v="100"/>
    <x v="77"/>
    <x v="0"/>
    <x v="63"/>
    <x v="1"/>
    <s v="New Toyota Hilux"/>
    <s v="OK"/>
    <d v="2025-11-14T17:53:37"/>
    <d v="2025-11-14T20:25:28"/>
  </r>
  <r>
    <x v="106"/>
    <x v="34"/>
    <s v="b218"/>
    <s v="Brent"/>
    <s v="Cross"/>
    <s v="brent.cross@unitedcivil.co.nz"/>
    <s v="Standard Hours"/>
    <s v="Stopped"/>
    <b v="0"/>
    <s v="96 Fourth Avenue, Woodhill, Whangārei 0110, New Zealand"/>
    <n v="0"/>
    <x v="101"/>
    <d v="1900-01-04T14:08:38"/>
    <x v="106"/>
    <x v="0"/>
    <b v="0"/>
    <s v="GO Mode,Garmin,HOS,Iridium,UI"/>
    <x v="0"/>
    <x v="1"/>
    <x v="101"/>
    <x v="78"/>
    <x v="0"/>
    <x v="64"/>
    <x v="1"/>
    <s v="BYD Shark 6 2025 AWD D/C W/S"/>
    <s v="OK"/>
    <d v="2025-11-14T18:51:49"/>
    <d v="2025-11-14T20:32:47"/>
  </r>
  <r>
    <x v="107"/>
    <x v="35"/>
    <s v="b27F"/>
    <n v="0"/>
    <n v="0"/>
    <n v="0"/>
    <s v="Standard Hours"/>
    <s v="Stopped"/>
    <b v="0"/>
    <s v="13 Nottingham Road, Onerahi, Whangārei 0110, New Zealand"/>
    <n v="0"/>
    <x v="102"/>
    <d v="1900-01-01T03:42:46"/>
    <x v="107"/>
    <x v="0"/>
    <b v="0"/>
    <s v="GO Mode,Garmin,HOS,Iridium,UI"/>
    <x v="0"/>
    <x v="1"/>
    <x v="102"/>
    <x v="79"/>
    <x v="0"/>
    <x v="65"/>
    <x v="1"/>
    <s v="BYD Atto 3 2025 Extended Range"/>
    <s v="OK"/>
    <d v="2025-11-14T18:36:02"/>
    <d v="2025-11-14T20:16:44"/>
  </r>
  <r>
    <x v="108"/>
    <x v="36"/>
    <s v="b27E"/>
    <n v="0"/>
    <n v="0"/>
    <n v="0"/>
    <s v="Standard Hours"/>
    <s v="Stopped"/>
    <b v="0"/>
    <s v="96 Franklin Road, Parua Bay 0192, New Zealand"/>
    <n v="0"/>
    <x v="103"/>
    <d v="1899-12-31T01:09:36"/>
    <x v="108"/>
    <x v="0"/>
    <b v="0"/>
    <s v="GO Mode,Garmin,HOS,Iridium,UI"/>
    <x v="0"/>
    <x v="5"/>
    <x v="103"/>
    <x v="0"/>
    <x v="0"/>
    <x v="66"/>
    <x v="1"/>
    <s v=""/>
    <s v="OK"/>
    <d v="2025-11-09T12:47:23"/>
    <d v="2025-11-14T08:24:11"/>
  </r>
  <r>
    <x v="109"/>
    <x v="37"/>
    <s v="bFE"/>
    <n v="0"/>
    <n v="0"/>
    <n v="0"/>
    <s v="Standard Hours"/>
    <s v="Stopped"/>
    <b v="0"/>
    <s v="United Civil Head Office: 19B Rewa Rewa Road, Raumanga, Whangārei 0110, New Zealand"/>
    <s v="Office Zone"/>
    <x v="104"/>
    <d v="1900-12-28T06:49:59"/>
    <x v="109"/>
    <x v="0"/>
    <b v="0"/>
    <s v="GO Mode,Garmin,HOS,Iridium,UI"/>
    <x v="0"/>
    <x v="1"/>
    <x v="104"/>
    <x v="80"/>
    <x v="0"/>
    <x v="0"/>
    <x v="1"/>
    <s v="Isuzu CYZ 460 Giga 2008"/>
    <s v="OK"/>
    <d v="2025-11-12T14:43:42"/>
    <d v="2025-11-14T20:24:45"/>
  </r>
  <r>
    <x v="110"/>
    <x v="37"/>
    <s v="bF8"/>
    <n v="0"/>
    <n v="0"/>
    <n v="0"/>
    <s v="Standard Hours"/>
    <s v="Stopped"/>
    <b v="0"/>
    <s v="Kaikohe: 8 Lindvart Street, Kaikohe 0474, New Zealand"/>
    <s v="Project"/>
    <x v="105"/>
    <d v="1900-06-15T04:22:02"/>
    <x v="110"/>
    <x v="0"/>
    <b v="0"/>
    <s v="GO Mode,Garmin,HOS,Iridium,UI"/>
    <x v="0"/>
    <x v="1"/>
    <x v="105"/>
    <x v="81"/>
    <x v="0"/>
    <x v="0"/>
    <x v="1"/>
    <s v="Hino GD 2003"/>
    <s v="OK"/>
    <d v="2025-11-14T16:27:48"/>
    <d v="2025-11-14T20:29:35"/>
  </r>
  <r>
    <x v="111"/>
    <x v="37"/>
    <s v="b19F"/>
    <n v="0"/>
    <n v="0"/>
    <n v="0"/>
    <s v="Standard Hours"/>
    <s v="Stopped"/>
    <b v="0"/>
    <s v="Kaikohe: 12 Lindvart Street, Kaikohe 0474, New Zealand"/>
    <s v="Project"/>
    <x v="106"/>
    <d v="1900-06-04T11:58:48"/>
    <x v="111"/>
    <x v="0"/>
    <b v="0"/>
    <s v="GO Mode,Garmin,HOS,Iridium,UI"/>
    <x v="0"/>
    <x v="1"/>
    <x v="106"/>
    <x v="82"/>
    <x v="0"/>
    <x v="0"/>
    <x v="1"/>
    <s v="Isuzu Elf NRR 1999"/>
    <s v="OK"/>
    <d v="2025-11-14T16:24:38"/>
    <d v="2025-11-14T20:27:06"/>
  </r>
  <r>
    <x v="112"/>
    <x v="37"/>
    <s v="b19C"/>
    <n v="0"/>
    <n v="0"/>
    <n v="0"/>
    <s v="Standard Hours"/>
    <s v="Stopped"/>
    <b v="0"/>
    <s v="Kaikohe: 8 Lindvart Street, Kaikohe 0474, New Zealand"/>
    <s v="Project"/>
    <x v="107"/>
    <d v="1901-06-05T10:39:59"/>
    <x v="112"/>
    <x v="0"/>
    <b v="0"/>
    <s v="GO Mode,Garmin,HOS,Iridium,UI"/>
    <x v="0"/>
    <x v="7"/>
    <x v="107"/>
    <x v="83"/>
    <x v="0"/>
    <x v="67"/>
    <x v="1"/>
    <s v="Isuzu CYZ400 2015"/>
    <s v="OK"/>
    <d v="2025-11-14T16:04:43"/>
    <d v="2025-11-14T20:40:46"/>
  </r>
  <r>
    <x v="113"/>
    <x v="37"/>
    <s v="b10C"/>
    <n v="0"/>
    <n v="0"/>
    <n v="0"/>
    <s v="Standard Hours"/>
    <s v="Stopped"/>
    <b v="0"/>
    <s v="Kaikohe: 8 Lindvart Street, Kaikohe 0474, New Zealand"/>
    <s v="Project"/>
    <x v="108"/>
    <d v="1900-07-29T14:33:14"/>
    <x v="113"/>
    <x v="0"/>
    <b v="0"/>
    <s v="GO Mode,Garmin,HOS,Iridium,UI"/>
    <x v="0"/>
    <x v="6"/>
    <x v="108"/>
    <x v="84"/>
    <x v="0"/>
    <x v="68"/>
    <x v="1"/>
    <s v="Isuzu FVZ1400M 2015"/>
    <s v="OK"/>
    <d v="2025-11-14T15:40:57"/>
    <d v="2025-11-14T20:15:55"/>
  </r>
  <r>
    <x v="114"/>
    <x v="38"/>
    <s v="b18A"/>
    <n v="0"/>
    <n v="0"/>
    <n v="0"/>
    <s v="Standard Hours"/>
    <s v="Stopped"/>
    <b v="0"/>
    <s v="United Civil Head Office: 19B Rewa Rewa Road, Raumanga, Whangārei 0110, New Zealand"/>
    <s v="Office Zone"/>
    <x v="109"/>
    <d v="1900-03-30T10:29:59"/>
    <x v="114"/>
    <x v="0"/>
    <b v="0"/>
    <s v="GO Mode,Garmin,HOS,Iridium,UI"/>
    <x v="0"/>
    <x v="10"/>
    <x v="109"/>
    <x v="85"/>
    <x v="0"/>
    <x v="69"/>
    <x v="1"/>
    <s v="Isuzu FVZ1400A 2016"/>
    <s v="Device is not downloading data"/>
    <d v="2025-10-30T10:03:55"/>
    <d v="2025-11-13T07:12:01"/>
  </r>
  <r>
    <x v="115"/>
    <x v="39"/>
    <s v="b174"/>
    <s v="Carl"/>
    <s v="Riesterer"/>
    <s v="carl.riesterer"/>
    <s v="Standard Hours"/>
    <s v="Stopped"/>
    <b v="0"/>
    <s v="4 Cobble Lane, Morningside, Whangārei 0110, New Zealand"/>
    <n v="0"/>
    <x v="110"/>
    <d v="1900-05-10T18:24:52"/>
    <x v="115"/>
    <x v="0"/>
    <b v="0"/>
    <s v="GO Mode,Garmin,HOS,Iridium,UI"/>
    <x v="0"/>
    <x v="7"/>
    <x v="110"/>
    <x v="86"/>
    <x v="0"/>
    <x v="0"/>
    <x v="1"/>
    <s v="Hino 300 2009.  Unit transferred from Ute 469 in Aug 2025"/>
    <s v="OK"/>
    <d v="2025-11-14T17:21:52"/>
    <d v="2025-11-14T20:23:41"/>
  </r>
  <r>
    <x v="116"/>
    <x v="37"/>
    <s v="bD7"/>
    <n v="0"/>
    <n v="0"/>
    <n v="0"/>
    <s v="Standard Hours"/>
    <s v="Stopped"/>
    <b v="0"/>
    <s v="United Civil Head Office: 19B Rewa Rewa Road, Raumanga, Whangārei 0110, New Zealand"/>
    <s v="Office Zone"/>
    <x v="111"/>
    <d v="1900-05-09T18:37:26"/>
    <x v="116"/>
    <x v="0"/>
    <b v="0"/>
    <s v="GO Mode,Garmin,HOS,Iridium,UI"/>
    <x v="0"/>
    <x v="1"/>
    <x v="111"/>
    <x v="87"/>
    <x v="0"/>
    <x v="0"/>
    <x v="1"/>
    <s v="Isuzu Forward FRR90S1 2016 Tipper"/>
    <s v="OK"/>
    <d v="2025-11-13T09:14:16"/>
    <d v="2025-11-14T20:16:10"/>
  </r>
  <r>
    <x v="117"/>
    <x v="38"/>
    <s v="b10A"/>
    <n v="0"/>
    <n v="0"/>
    <n v="0"/>
    <s v="Standard Hours"/>
    <s v="Stopped"/>
    <b v="0"/>
    <s v="Channel Infrastructure: 12 Ralph Trimmer Drive, Marsden Point 0171, New Zealand"/>
    <s v="Project"/>
    <x v="112"/>
    <d v="1900-04-13T10:23:18"/>
    <x v="117"/>
    <x v="0"/>
    <b v="0"/>
    <s v="GO Mode,Garmin,HOS,Iridium,UI"/>
    <x v="0"/>
    <x v="5"/>
    <x v="112"/>
    <x v="88"/>
    <x v="0"/>
    <x v="70"/>
    <x v="1"/>
    <s v="Isuzu N Series / ELF / NPR 4x2 (2018)"/>
    <s v="OK"/>
    <d v="2025-11-14T09:55:03"/>
    <d v="2025-11-14T20:32:55"/>
  </r>
  <r>
    <x v="118"/>
    <x v="38"/>
    <s v="b19B"/>
    <s v="Pat (Dale)"/>
    <s v="Clotworthy"/>
    <s v="pat.clotworthy@unitedcivil.co.nz"/>
    <s v="Standard Hours"/>
    <s v="Stopped"/>
    <b v="0"/>
    <s v="Kaikohe: 12 Lindvart Street, Kaikohe 0474, New Zealand"/>
    <s v="Project"/>
    <x v="113"/>
    <d v="1900-06-07T16:01:12"/>
    <x v="118"/>
    <x v="0"/>
    <b v="0"/>
    <s v="GO Mode,Garmin,HOS,Iridium,UI"/>
    <x v="0"/>
    <x v="7"/>
    <x v="113"/>
    <x v="0"/>
    <x v="0"/>
    <x v="71"/>
    <x v="1"/>
    <s v="Isuzu NPR325 4x2 2020"/>
    <s v="OK"/>
    <d v="2025-11-14T18:11:55"/>
    <d v="2025-11-14T18:12:31"/>
  </r>
  <r>
    <x v="119"/>
    <x v="37"/>
    <s v="b199"/>
    <s v="David (Nick)"/>
    <s v="Stewart"/>
    <s v="nick.stewart"/>
    <s v="Standard Hours"/>
    <s v="Stopped"/>
    <b v="0"/>
    <s v="Kaikohe: 8 Lindvart Street, Kaikohe 0474, New Zealand"/>
    <s v="Project"/>
    <x v="114"/>
    <d v="1900-04-29T21:09:09"/>
    <x v="119"/>
    <x v="0"/>
    <b v="0"/>
    <s v="GO Mode,Garmin,HOS,Iridium,UI"/>
    <x v="0"/>
    <x v="7"/>
    <x v="114"/>
    <x v="89"/>
    <x v="0"/>
    <x v="72"/>
    <x v="1"/>
    <s v="Isuzu CYZ400 2022"/>
    <s v="OK"/>
    <d v="2025-11-14T09:56:45"/>
    <d v="2025-11-14T20:29:07"/>
  </r>
  <r>
    <x v="120"/>
    <x v="38"/>
    <s v="bFF"/>
    <s v="Hetaraka"/>
    <s v="Te Nana"/>
    <s v="hetaraka.tenana"/>
    <s v="Standard Hours"/>
    <s v="Stopped"/>
    <b v="0"/>
    <s v="Kaikohe: 8 Lindvart Street, Kaikohe 0474, New Zealand"/>
    <s v="Project"/>
    <x v="115"/>
    <d v="1900-03-17T00:31:37"/>
    <x v="120"/>
    <x v="0"/>
    <b v="0"/>
    <s v="GO Mode,Garmin,HOS,Iridium,UI"/>
    <x v="0"/>
    <x v="5"/>
    <x v="115"/>
    <x v="90"/>
    <x v="0"/>
    <x v="73"/>
    <x v="1"/>
    <s v="Isuzu CYZ420 2023"/>
    <s v="OK"/>
    <d v="2025-11-13T16:11:50"/>
    <d v="2025-11-14T20:28:53"/>
  </r>
  <r>
    <x v="121"/>
    <x v="40"/>
    <s v="b183"/>
    <s v="Stephen"/>
    <s v="De Leeuw"/>
    <s v="steve.deleeuw@unitedcivil.co.nz"/>
    <s v="Standard Hours"/>
    <s v="Stopped"/>
    <b v="0"/>
    <s v="Kaitaia Wastewater: 5 Eden Terrace, Kaitaia 0410, New Zealand"/>
    <s v="Project"/>
    <x v="116"/>
    <d v="1900-05-15T04:18:00"/>
    <x v="121"/>
    <x v="0"/>
    <b v="0"/>
    <s v="GO Mode,Garmin,HOS,Iridium,UI"/>
    <x v="0"/>
    <x v="4"/>
    <x v="116"/>
    <x v="0"/>
    <x v="0"/>
    <x v="0"/>
    <x v="1"/>
    <s v="3T Ingersol Vibrating DD34HF"/>
    <s v="Device is not downloading data"/>
    <d v="2025-10-09T12:06:54"/>
    <d v="2025-10-09T12:46:14"/>
  </r>
  <r>
    <x v="122"/>
    <x v="40"/>
    <s v="b197"/>
    <n v="0"/>
    <n v="0"/>
    <n v="0"/>
    <s v="Standard Hours"/>
    <s v="Stopped"/>
    <b v="0"/>
    <s v="Gillingham Road: 62 Gillingham Road, Te Kamo, Whangārei 0112, New Zealand"/>
    <s v="Project"/>
    <x v="117"/>
    <d v="1900-07-08T22:27:50"/>
    <x v="122"/>
    <x v="0"/>
    <b v="0"/>
    <s v="GO Mode,Garmin,HOS,Iridium,UI"/>
    <x v="0"/>
    <x v="1"/>
    <x v="117"/>
    <x v="91"/>
    <x v="0"/>
    <x v="0"/>
    <x v="1"/>
    <s v="12T Sakai SV520 Vibrating 2014 w Sheepsfoot"/>
    <s v="OK"/>
    <d v="2025-11-10T20:13:07"/>
    <d v="2025-11-14T11:02:39"/>
  </r>
  <r>
    <x v="123"/>
    <x v="40"/>
    <s v="b19D"/>
    <n v="0"/>
    <n v="0"/>
    <n v="0"/>
    <s v="Standard Hours"/>
    <s v="Stopped"/>
    <b v="0"/>
    <s v="Morningside: 65 Morningside Rd, Northland Region 0110, New Zealand"/>
    <s v="Project"/>
    <x v="118"/>
    <d v="1900-01-30T02:49:33"/>
    <x v="123"/>
    <x v="0"/>
    <b v="0"/>
    <s v="GO Mode,Garmin,HOS,Iridium,UI"/>
    <x v="0"/>
    <x v="1"/>
    <x v="118"/>
    <x v="0"/>
    <x v="0"/>
    <x v="0"/>
    <x v="1"/>
    <s v="Ammann Rammax ARR1575 Vibrating Trench"/>
    <s v="OK"/>
    <d v="2025-11-10T18:12:59"/>
    <d v="2025-11-14T19:03:04"/>
  </r>
  <r>
    <x v="124"/>
    <x v="40"/>
    <s v="b196"/>
    <n v="0"/>
    <n v="0"/>
    <n v="0"/>
    <s v="Standard Hours"/>
    <s v="Stopped"/>
    <b v="0"/>
    <s v="Mangawhai: Mangawhai Road, 0975, New Zealand"/>
    <s v="Project"/>
    <x v="119"/>
    <d v="1900-04-01T14:56:00"/>
    <x v="124"/>
    <x v="0"/>
    <b v="0"/>
    <s v="GO Mode,Garmin,HOS,Iridium,UI"/>
    <x v="0"/>
    <x v="3"/>
    <x v="119"/>
    <x v="92"/>
    <x v="0"/>
    <x v="0"/>
    <x v="1"/>
    <s v="12T Hamm 3412 HT Vibrating 2021"/>
    <s v="OK"/>
    <d v="2025-11-11T16:36:22"/>
    <d v="2025-11-14T20:20:05"/>
  </r>
  <r>
    <x v="125"/>
    <x v="5"/>
    <s v="b2C4"/>
    <n v="0"/>
    <n v="0"/>
    <n v="0"/>
    <s v="Standard Hours"/>
    <n v="0"/>
    <b v="0"/>
    <n v="0"/>
    <n v="0"/>
    <x v="0"/>
    <d v="1900-10-23T12:00:00"/>
    <x v="125"/>
    <x v="0"/>
    <b v="0"/>
    <n v="0"/>
    <x v="1"/>
    <x v="2"/>
    <x v="2"/>
    <x v="0"/>
    <x v="0"/>
    <x v="0"/>
    <x v="0"/>
    <s v="Selwood 6&quot; Dewatering Pump"/>
    <n v="0"/>
    <d v="1899-12-30T00:00:00"/>
    <s v=""/>
  </r>
  <r>
    <x v="126"/>
    <x v="41"/>
    <s v="b1C0"/>
    <n v="0"/>
    <n v="0"/>
    <n v="0"/>
    <s v="Standard Hours"/>
    <n v="0"/>
    <b v="0"/>
    <n v="0"/>
    <n v="0"/>
    <x v="0"/>
    <d v="1899-12-30T00:00:00"/>
    <x v="126"/>
    <x v="0"/>
    <b v="0"/>
    <n v="0"/>
    <x v="2"/>
    <x v="11"/>
    <x v="120"/>
    <x v="0"/>
    <x v="0"/>
    <x v="74"/>
    <x v="0"/>
    <s v=""/>
    <n v="0"/>
    <d v="1899-12-30T00:00:00"/>
    <s v=""/>
  </r>
  <r>
    <x v="127"/>
    <x v="37"/>
    <s v="bF6"/>
    <n v="0"/>
    <n v="0"/>
    <n v="0"/>
    <s v="Standard Hours"/>
    <s v="Stopped"/>
    <b v="0"/>
    <s v="49 Chatswood Grove, Chatswood, Auckland 0626, New Zealand"/>
    <n v="0"/>
    <x v="120"/>
    <d v="1900-05-09T05:49:18"/>
    <x v="127"/>
    <x v="0"/>
    <b v="0"/>
    <s v="GO Mode,Garmin,HOS,Iridium,UI"/>
    <x v="0"/>
    <x v="12"/>
    <x v="121"/>
    <x v="86"/>
    <x v="0"/>
    <x v="0"/>
    <x v="1"/>
    <s v="Hino 300 2009"/>
    <s v="Device is not downloading data"/>
    <d v="2025-09-28T20:06:57"/>
    <d v="2025-10-02T01:16:39"/>
  </r>
  <r>
    <x v="128"/>
    <x v="42"/>
    <s v="b26D"/>
    <n v="0"/>
    <n v="0"/>
    <n v="0"/>
    <s v="Standard Hours"/>
    <n v="0"/>
    <b v="0"/>
    <n v="0"/>
    <n v="0"/>
    <x v="0"/>
    <d v="1899-12-30T00:00:00"/>
    <x v="128"/>
    <x v="0"/>
    <b v="0"/>
    <n v="0"/>
    <x v="1"/>
    <x v="2"/>
    <x v="2"/>
    <x v="0"/>
    <x v="0"/>
    <x v="75"/>
    <x v="0"/>
    <s v=""/>
    <n v="0"/>
    <d v="1899-12-30T00:00:00"/>
    <s v=""/>
  </r>
  <r>
    <x v="129"/>
    <x v="43"/>
    <s v="b270"/>
    <n v="0"/>
    <n v="0"/>
    <n v="0"/>
    <s v="Standard Hours"/>
    <n v="0"/>
    <b v="0"/>
    <n v="0"/>
    <n v="0"/>
    <x v="0"/>
    <d v="1899-12-30T00:00:00"/>
    <x v="129"/>
    <x v="0"/>
    <b v="0"/>
    <n v="0"/>
    <x v="1"/>
    <x v="2"/>
    <x v="2"/>
    <x v="0"/>
    <x v="0"/>
    <x v="76"/>
    <x v="0"/>
    <s v=""/>
    <n v="0"/>
    <d v="1899-12-30T00:00:00"/>
    <s v=""/>
  </r>
  <r>
    <x v="130"/>
    <x v="40"/>
    <s v="b26F"/>
    <n v="0"/>
    <n v="0"/>
    <n v="0"/>
    <s v="Standard Hours"/>
    <n v="0"/>
    <b v="0"/>
    <n v="0"/>
    <n v="0"/>
    <x v="0"/>
    <d v="1899-12-30T00:00:00"/>
    <x v="130"/>
    <x v="0"/>
    <b v="0"/>
    <n v="0"/>
    <x v="1"/>
    <x v="2"/>
    <x v="2"/>
    <x v="0"/>
    <x v="0"/>
    <x v="77"/>
    <x v="0"/>
    <s v=""/>
    <n v="0"/>
    <d v="1899-12-30T00:00:00"/>
    <s v=""/>
  </r>
  <r>
    <x v="131"/>
    <x v="44"/>
    <s v="b271"/>
    <n v="0"/>
    <n v="0"/>
    <n v="0"/>
    <s v="Standard Hours"/>
    <n v="0"/>
    <b v="0"/>
    <n v="0"/>
    <n v="0"/>
    <x v="0"/>
    <d v="1899-12-30T00:00:00"/>
    <x v="131"/>
    <x v="0"/>
    <b v="0"/>
    <n v="0"/>
    <x v="1"/>
    <x v="2"/>
    <x v="2"/>
    <x v="0"/>
    <x v="0"/>
    <x v="0"/>
    <x v="0"/>
    <s v=""/>
    <n v="0"/>
    <d v="1899-12-30T00:00:00"/>
    <s v=""/>
  </r>
  <r>
    <x v="132"/>
    <x v="37"/>
    <s v="b26E"/>
    <n v="0"/>
    <n v="0"/>
    <n v="0"/>
    <s v="Standard Hours"/>
    <n v="0"/>
    <b v="0"/>
    <n v="0"/>
    <n v="0"/>
    <x v="0"/>
    <d v="1899-12-30T00:00:00"/>
    <x v="132"/>
    <x v="0"/>
    <b v="0"/>
    <n v="0"/>
    <x v="1"/>
    <x v="2"/>
    <x v="2"/>
    <x v="0"/>
    <x v="0"/>
    <x v="78"/>
    <x v="0"/>
    <s v=""/>
    <n v="0"/>
    <d v="1899-12-30T00:00:0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9" cacheId="14" dataOnRows="1" applyNumberFormats="0" applyBorderFormats="0" applyFontFormats="0" applyPatternFormats="0" applyAlignmentFormats="0" applyWidthHeightFormats="1" dataCaption="Data" updatedVersion="7" minRefreshableVersion="3" showDrill="0" showMemberPropertyTips="0" rowGrandTotals="0" colGrandTotals="0" itemPrintTitles="1" createdVersion="4" indent="0" compact="0" compactData="0">
  <location ref="A7:L140" firstHeaderRow="1" firstDataRow="1" firstDataCol="12"/>
  <pivotFields count="28">
    <pivotField axis="axisRow" compact="0" outline="0" subtotalTop="0" showAll="0" includeNewItemsInFilter="1" defaultSubtota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</items>
    </pivotField>
    <pivotField axis="axisRow" compact="0" outline="0" subtotalTop="0" showAll="0" includeNewItemsInFilter="1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numFmtId="1" outline="0" subtotalTop="0" showAll="0" includeNewItemsInFilter="1" defaultSubtota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</items>
    </pivotField>
    <pivotField compact="0" numFmtId="169" outline="0" subtotalTop="0" showAll="0" includeNewItemsInFilter="1" defaultSubtotal="0"/>
    <pivotField axis="axisRow" compact="0" outline="0" subtotalTop="0" showAll="0" includeNewItemsInFilter="1" defaultSubtota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</items>
    </pivotField>
    <pivotField axis="axisRow" compact="0" outline="0" subtotalTop="0" showAll="0" includeNewItemsInFilter="1" defaultSubtotal="0">
      <items count="1">
        <item x="0"/>
      </items>
    </pivotField>
    <pivotField compact="0" outline="0" showAll="0" defaultSubtotal="0"/>
    <pivotField compact="0" outline="0" showAll="0" defaultSubtotal="0"/>
    <pivotField axis="axisRow" compact="0" outline="0" subtotalTop="0" showAll="0" includeNewItemsInFilter="1" defaultSubtotal="0">
      <items count="3">
        <item x="0"/>
        <item x="1"/>
        <item x="2"/>
      </items>
    </pivotField>
    <pivotField axis="axisRow" compact="0" outline="0" subtotalTop="0" showAll="0" includeNewItemsInFilter="1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compact="0" outline="0" subtotalTop="0" showAll="0" includeNewItemsInFilter="1" defaultSubtota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</items>
    </pivotField>
    <pivotField axis="axisRow" compact="0" outline="0" subtotalTop="0" showAll="0" includeNewItemsInFilter="1" defaultSubtota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</items>
    </pivotField>
    <pivotField axis="axisRow" compact="0" outline="0" subtotalTop="0" showAll="0" includeNewItemsInFilter="1" defaultSubtotal="0">
      <items count="2">
        <item x="0"/>
        <item x="1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numFmtId="168" outline="0" subtotalTop="0" showAll="0" includeNewItemsInFilter="1" defaultSubtotal="0"/>
    <pivotField compact="0" numFmtId="173" outline="0" subtotalTop="0" showAll="0" defaultSubtotal="0"/>
  </pivotFields>
  <rowFields count="12">
    <field x="0"/>
    <field x="1"/>
    <field x="11"/>
    <field x="13"/>
    <field x="14"/>
    <field x="17"/>
    <field x="18"/>
    <field x="19"/>
    <field x="20"/>
    <field x="21"/>
    <field x="22"/>
    <field x="23"/>
  </rowFields>
  <rowItems count="133">
    <i>
      <x/>
      <x/>
      <x/>
      <x/>
      <x/>
      <x/>
      <x/>
      <x/>
      <x/>
      <x/>
      <x/>
      <x/>
    </i>
    <i>
      <x v="1"/>
      <x v="1"/>
      <x v="1"/>
      <x v="1"/>
      <x/>
      <x/>
      <x v="1"/>
      <x v="1"/>
      <x v="1"/>
      <x/>
      <x/>
      <x v="1"/>
    </i>
    <i>
      <x v="2"/>
      <x v="2"/>
      <x/>
      <x v="2"/>
      <x/>
      <x v="1"/>
      <x v="2"/>
      <x v="2"/>
      <x/>
      <x/>
      <x/>
      <x/>
    </i>
    <i>
      <x v="3"/>
      <x v="2"/>
      <x/>
      <x v="3"/>
      <x/>
      <x v="1"/>
      <x v="2"/>
      <x v="2"/>
      <x/>
      <x/>
      <x/>
      <x/>
    </i>
    <i>
      <x v="4"/>
      <x v="3"/>
      <x v="2"/>
      <x v="4"/>
      <x/>
      <x/>
      <x v="1"/>
      <x v="3"/>
      <x/>
      <x/>
      <x/>
      <x v="1"/>
    </i>
    <i>
      <x v="5"/>
      <x v="2"/>
      <x/>
      <x v="5"/>
      <x/>
      <x v="1"/>
      <x v="2"/>
      <x v="2"/>
      <x/>
      <x/>
      <x/>
      <x/>
    </i>
    <i>
      <x v="6"/>
      <x v="1"/>
      <x v="3"/>
      <x v="6"/>
      <x/>
      <x/>
      <x v="1"/>
      <x v="4"/>
      <x/>
      <x/>
      <x/>
      <x v="1"/>
    </i>
    <i>
      <x v="7"/>
      <x v="1"/>
      <x v="4"/>
      <x v="7"/>
      <x/>
      <x/>
      <x v="1"/>
      <x v="5"/>
      <x/>
      <x/>
      <x/>
      <x v="1"/>
    </i>
    <i>
      <x v="8"/>
      <x v="4"/>
      <x v="5"/>
      <x v="8"/>
      <x/>
      <x/>
      <x v="1"/>
      <x v="6"/>
      <x/>
      <x/>
      <x/>
      <x v="1"/>
    </i>
    <i>
      <x v="9"/>
      <x v="4"/>
      <x v="6"/>
      <x v="9"/>
      <x/>
      <x/>
      <x v="1"/>
      <x v="7"/>
      <x/>
      <x/>
      <x/>
      <x v="1"/>
    </i>
    <i>
      <x v="10"/>
      <x v="1"/>
      <x v="7"/>
      <x v="10"/>
      <x/>
      <x/>
      <x v="1"/>
      <x v="8"/>
      <x/>
      <x/>
      <x/>
      <x v="1"/>
    </i>
    <i>
      <x v="11"/>
      <x v="1"/>
      <x v="8"/>
      <x v="11"/>
      <x/>
      <x/>
      <x v="1"/>
      <x v="9"/>
      <x/>
      <x/>
      <x/>
      <x v="1"/>
    </i>
    <i>
      <x v="12"/>
      <x v="5"/>
      <x/>
      <x v="12"/>
      <x/>
      <x v="1"/>
      <x v="2"/>
      <x v="2"/>
      <x/>
      <x/>
      <x/>
      <x/>
    </i>
    <i>
      <x v="13"/>
      <x v="1"/>
      <x v="9"/>
      <x v="13"/>
      <x/>
      <x/>
      <x v="1"/>
      <x v="10"/>
      <x/>
      <x/>
      <x/>
      <x v="1"/>
    </i>
    <i>
      <x v="14"/>
      <x v="4"/>
      <x v="10"/>
      <x v="14"/>
      <x/>
      <x/>
      <x v="1"/>
      <x v="11"/>
      <x/>
      <x/>
      <x/>
      <x v="1"/>
    </i>
    <i>
      <x v="15"/>
      <x v="1"/>
      <x v="11"/>
      <x v="15"/>
      <x/>
      <x/>
      <x v="1"/>
      <x v="12"/>
      <x/>
      <x/>
      <x/>
      <x v="1"/>
    </i>
    <i>
      <x v="16"/>
      <x v="1"/>
      <x v="12"/>
      <x v="16"/>
      <x/>
      <x/>
      <x v="1"/>
      <x v="13"/>
      <x/>
      <x/>
      <x/>
      <x v="1"/>
    </i>
    <i>
      <x v="17"/>
      <x v="4"/>
      <x v="13"/>
      <x v="17"/>
      <x/>
      <x/>
      <x v="1"/>
      <x v="14"/>
      <x/>
      <x/>
      <x/>
      <x v="1"/>
    </i>
    <i>
      <x v="18"/>
      <x v="4"/>
      <x v="14"/>
      <x v="18"/>
      <x/>
      <x/>
      <x v="1"/>
      <x v="15"/>
      <x/>
      <x/>
      <x/>
      <x v="1"/>
    </i>
    <i>
      <x v="19"/>
      <x v="1"/>
      <x v="15"/>
      <x v="19"/>
      <x/>
      <x/>
      <x v="1"/>
      <x v="16"/>
      <x/>
      <x/>
      <x/>
      <x v="1"/>
    </i>
    <i>
      <x v="20"/>
      <x v="1"/>
      <x v="16"/>
      <x v="20"/>
      <x/>
      <x/>
      <x v="1"/>
      <x v="17"/>
      <x/>
      <x/>
      <x/>
      <x v="1"/>
    </i>
    <i>
      <x v="21"/>
      <x v="1"/>
      <x v="17"/>
      <x v="21"/>
      <x/>
      <x/>
      <x v="1"/>
      <x v="18"/>
      <x/>
      <x/>
      <x/>
      <x v="1"/>
    </i>
    <i>
      <x v="22"/>
      <x v="1"/>
      <x v="18"/>
      <x v="22"/>
      <x/>
      <x/>
      <x v="1"/>
      <x v="19"/>
      <x/>
      <x/>
      <x/>
      <x v="1"/>
    </i>
    <i>
      <x v="23"/>
      <x v="1"/>
      <x v="19"/>
      <x v="23"/>
      <x/>
      <x/>
      <x v="3"/>
      <x v="20"/>
      <x/>
      <x/>
      <x/>
      <x v="1"/>
    </i>
    <i>
      <x v="24"/>
      <x v="6"/>
      <x v="20"/>
      <x v="24"/>
      <x/>
      <x/>
      <x v="4"/>
      <x v="21"/>
      <x/>
      <x/>
      <x/>
      <x v="1"/>
    </i>
    <i>
      <x v="25"/>
      <x v="7"/>
      <x v="21"/>
      <x v="25"/>
      <x/>
      <x/>
      <x v="1"/>
      <x v="22"/>
      <x v="2"/>
      <x/>
      <x/>
      <x v="1"/>
    </i>
    <i>
      <x v="26"/>
      <x v="8"/>
      <x v="22"/>
      <x v="26"/>
      <x/>
      <x/>
      <x v="1"/>
      <x v="23"/>
      <x v="3"/>
      <x/>
      <x/>
      <x v="1"/>
    </i>
    <i>
      <x v="27"/>
      <x v="8"/>
      <x v="23"/>
      <x v="27"/>
      <x/>
      <x/>
      <x v="1"/>
      <x v="24"/>
      <x v="4"/>
      <x/>
      <x/>
      <x v="1"/>
    </i>
    <i>
      <x v="28"/>
      <x v="9"/>
      <x/>
      <x v="28"/>
      <x/>
      <x v="1"/>
      <x v="2"/>
      <x v="2"/>
      <x/>
      <x/>
      <x/>
      <x/>
    </i>
    <i>
      <x v="29"/>
      <x v="10"/>
      <x v="24"/>
      <x v="29"/>
      <x/>
      <x/>
      <x v="1"/>
      <x v="25"/>
      <x v="5"/>
      <x/>
      <x/>
      <x v="1"/>
    </i>
    <i>
      <x v="30"/>
      <x v="10"/>
      <x v="25"/>
      <x v="30"/>
      <x/>
      <x/>
      <x v="1"/>
      <x v="26"/>
      <x v="6"/>
      <x/>
      <x/>
      <x v="1"/>
    </i>
    <i>
      <x v="31"/>
      <x v="10"/>
      <x v="26"/>
      <x v="31"/>
      <x/>
      <x/>
      <x v="3"/>
      <x v="27"/>
      <x v="7"/>
      <x/>
      <x/>
      <x v="1"/>
    </i>
    <i>
      <x v="32"/>
      <x v="10"/>
      <x v="27"/>
      <x v="32"/>
      <x/>
      <x/>
      <x v="1"/>
      <x v="28"/>
      <x v="8"/>
      <x/>
      <x/>
      <x v="1"/>
    </i>
    <i>
      <x v="33"/>
      <x v="11"/>
      <x v="28"/>
      <x v="33"/>
      <x/>
      <x/>
      <x v="1"/>
      <x v="29"/>
      <x/>
      <x/>
      <x/>
      <x v="1"/>
    </i>
    <i>
      <x v="34"/>
      <x v="12"/>
      <x v="29"/>
      <x v="34"/>
      <x/>
      <x/>
      <x v="1"/>
      <x v="30"/>
      <x/>
      <x/>
      <x/>
      <x v="1"/>
    </i>
    <i>
      <x v="35"/>
      <x v="13"/>
      <x v="30"/>
      <x v="35"/>
      <x/>
      <x/>
      <x v="1"/>
      <x v="31"/>
      <x/>
      <x/>
      <x/>
      <x v="1"/>
    </i>
    <i>
      <x v="36"/>
      <x v="13"/>
      <x v="31"/>
      <x v="36"/>
      <x/>
      <x/>
      <x v="3"/>
      <x v="32"/>
      <x v="9"/>
      <x/>
      <x/>
      <x v="1"/>
    </i>
    <i>
      <x v="37"/>
      <x v="14"/>
      <x v="32"/>
      <x v="37"/>
      <x/>
      <x/>
      <x v="3"/>
      <x v="33"/>
      <x v="10"/>
      <x/>
      <x/>
      <x v="1"/>
    </i>
    <i>
      <x v="38"/>
      <x v="14"/>
      <x v="33"/>
      <x v="38"/>
      <x/>
      <x/>
      <x v="3"/>
      <x v="34"/>
      <x v="11"/>
      <x/>
      <x/>
      <x v="1"/>
    </i>
    <i>
      <x v="39"/>
      <x v="15"/>
      <x v="34"/>
      <x v="39"/>
      <x/>
      <x/>
      <x v="1"/>
      <x v="35"/>
      <x v="12"/>
      <x/>
      <x v="1"/>
      <x v="1"/>
    </i>
    <i>
      <x v="40"/>
      <x v="16"/>
      <x v="35"/>
      <x v="40"/>
      <x/>
      <x/>
      <x v="1"/>
      <x v="36"/>
      <x v="13"/>
      <x/>
      <x v="2"/>
      <x v="1"/>
    </i>
    <i>
      <x v="41"/>
      <x v="15"/>
      <x v="36"/>
      <x v="41"/>
      <x/>
      <x/>
      <x v="5"/>
      <x v="37"/>
      <x v="14"/>
      <x/>
      <x v="3"/>
      <x v="1"/>
    </i>
    <i>
      <x v="42"/>
      <x v="16"/>
      <x v="37"/>
      <x v="42"/>
      <x/>
      <x/>
      <x v="5"/>
      <x v="38"/>
      <x v="15"/>
      <x/>
      <x v="4"/>
      <x v="1"/>
    </i>
    <i>
      <x v="43"/>
      <x v="15"/>
      <x v="38"/>
      <x v="43"/>
      <x/>
      <x/>
      <x v="6"/>
      <x v="39"/>
      <x v="16"/>
      <x/>
      <x v="5"/>
      <x v="1"/>
    </i>
    <i>
      <x v="44"/>
      <x v="17"/>
      <x v="39"/>
      <x v="44"/>
      <x/>
      <x/>
      <x v="7"/>
      <x v="40"/>
      <x v="17"/>
      <x/>
      <x v="6"/>
      <x v="1"/>
    </i>
    <i>
      <x v="45"/>
      <x v="15"/>
      <x v="40"/>
      <x v="45"/>
      <x/>
      <x/>
      <x v="1"/>
      <x v="41"/>
      <x v="18"/>
      <x/>
      <x/>
      <x v="1"/>
    </i>
    <i>
      <x v="46"/>
      <x v="16"/>
      <x v="41"/>
      <x v="46"/>
      <x/>
      <x/>
      <x v="5"/>
      <x v="42"/>
      <x v="19"/>
      <x/>
      <x v="7"/>
      <x v="1"/>
    </i>
    <i>
      <x v="47"/>
      <x v="16"/>
      <x v="42"/>
      <x v="47"/>
      <x/>
      <x/>
      <x v="5"/>
      <x v="43"/>
      <x v="20"/>
      <x/>
      <x v="8"/>
      <x v="1"/>
    </i>
    <i>
      <x v="48"/>
      <x v="16"/>
      <x v="43"/>
      <x v="48"/>
      <x/>
      <x/>
      <x v="7"/>
      <x v="44"/>
      <x v="21"/>
      <x/>
      <x v="9"/>
      <x v="1"/>
    </i>
    <i>
      <x v="49"/>
      <x v="16"/>
      <x v="44"/>
      <x v="49"/>
      <x/>
      <x/>
      <x v="5"/>
      <x v="45"/>
      <x v="22"/>
      <x/>
      <x v="10"/>
      <x v="1"/>
    </i>
    <i>
      <x v="50"/>
      <x v="18"/>
      <x v="45"/>
      <x v="50"/>
      <x/>
      <x/>
      <x v="5"/>
      <x v="46"/>
      <x v="23"/>
      <x/>
      <x v="11"/>
      <x v="1"/>
    </i>
    <i>
      <x v="51"/>
      <x v="15"/>
      <x v="46"/>
      <x v="51"/>
      <x/>
      <x/>
      <x v="1"/>
      <x v="47"/>
      <x v="24"/>
      <x/>
      <x/>
      <x v="1"/>
    </i>
    <i>
      <x v="52"/>
      <x v="16"/>
      <x v="47"/>
      <x v="52"/>
      <x/>
      <x/>
      <x v="6"/>
      <x v="48"/>
      <x v="25"/>
      <x/>
      <x v="12"/>
      <x v="1"/>
    </i>
    <i>
      <x v="53"/>
      <x v="16"/>
      <x v="48"/>
      <x v="53"/>
      <x/>
      <x/>
      <x v="1"/>
      <x v="49"/>
      <x v="26"/>
      <x/>
      <x v="13"/>
      <x v="1"/>
    </i>
    <i>
      <x v="54"/>
      <x v="16"/>
      <x v="49"/>
      <x v="54"/>
      <x/>
      <x/>
      <x v="8"/>
      <x v="50"/>
      <x v="27"/>
      <x/>
      <x v="14"/>
      <x v="1"/>
    </i>
    <i>
      <x v="55"/>
      <x v="16"/>
      <x v="50"/>
      <x v="55"/>
      <x/>
      <x/>
      <x v="1"/>
      <x v="51"/>
      <x v="28"/>
      <x/>
      <x v="15"/>
      <x v="1"/>
    </i>
    <i>
      <x v="56"/>
      <x v="16"/>
      <x v="51"/>
      <x v="56"/>
      <x/>
      <x/>
      <x v="5"/>
      <x v="52"/>
      <x v="29"/>
      <x/>
      <x v="16"/>
      <x v="1"/>
    </i>
    <i>
      <x v="57"/>
      <x v="16"/>
      <x v="52"/>
      <x v="57"/>
      <x/>
      <x/>
      <x v="5"/>
      <x v="53"/>
      <x v="30"/>
      <x/>
      <x v="17"/>
      <x v="1"/>
    </i>
    <i>
      <x v="58"/>
      <x v="16"/>
      <x v="53"/>
      <x v="58"/>
      <x/>
      <x/>
      <x v="1"/>
      <x v="54"/>
      <x v="31"/>
      <x/>
      <x v="18"/>
      <x v="1"/>
    </i>
    <i>
      <x v="59"/>
      <x v="16"/>
      <x v="54"/>
      <x v="59"/>
      <x/>
      <x/>
      <x v="1"/>
      <x v="55"/>
      <x v="32"/>
      <x/>
      <x v="19"/>
      <x v="1"/>
    </i>
    <i>
      <x v="60"/>
      <x v="19"/>
      <x v="55"/>
      <x v="60"/>
      <x/>
      <x/>
      <x v="9"/>
      <x v="56"/>
      <x v="33"/>
      <x/>
      <x v="20"/>
      <x v="1"/>
    </i>
    <i>
      <x v="61"/>
      <x v="16"/>
      <x v="56"/>
      <x v="61"/>
      <x/>
      <x/>
      <x v="5"/>
      <x v="57"/>
      <x v="34"/>
      <x/>
      <x v="21"/>
      <x v="1"/>
    </i>
    <i>
      <x v="62"/>
      <x v="15"/>
      <x v="57"/>
      <x v="62"/>
      <x/>
      <x/>
      <x v="1"/>
      <x v="58"/>
      <x v="35"/>
      <x/>
      <x/>
      <x v="1"/>
    </i>
    <i>
      <x v="63"/>
      <x v="16"/>
      <x v="58"/>
      <x v="63"/>
      <x/>
      <x/>
      <x v="5"/>
      <x v="59"/>
      <x v="36"/>
      <x/>
      <x v="22"/>
      <x v="1"/>
    </i>
    <i>
      <x v="64"/>
      <x v="20"/>
      <x v="59"/>
      <x v="64"/>
      <x/>
      <x/>
      <x v="1"/>
      <x v="60"/>
      <x v="37"/>
      <x/>
      <x v="23"/>
      <x v="1"/>
    </i>
    <i>
      <x v="65"/>
      <x v="21"/>
      <x v="60"/>
      <x v="65"/>
      <x/>
      <x/>
      <x v="1"/>
      <x v="61"/>
      <x v="38"/>
      <x/>
      <x v="24"/>
      <x v="1"/>
    </i>
    <i>
      <x v="66"/>
      <x v="16"/>
      <x v="61"/>
      <x v="66"/>
      <x/>
      <x/>
      <x v="5"/>
      <x v="62"/>
      <x v="39"/>
      <x/>
      <x v="25"/>
      <x v="1"/>
    </i>
    <i>
      <x v="67"/>
      <x v="16"/>
      <x v="62"/>
      <x v="67"/>
      <x/>
      <x/>
      <x v="5"/>
      <x v="63"/>
      <x v="40"/>
      <x/>
      <x v="26"/>
      <x v="1"/>
    </i>
    <i>
      <x v="68"/>
      <x v="21"/>
      <x v="63"/>
      <x v="68"/>
      <x/>
      <x/>
      <x v="1"/>
      <x v="64"/>
      <x v="41"/>
      <x/>
      <x v="27"/>
      <x v="1"/>
    </i>
    <i>
      <x v="69"/>
      <x v="16"/>
      <x v="64"/>
      <x v="69"/>
      <x/>
      <x/>
      <x v="1"/>
      <x v="65"/>
      <x v="42"/>
      <x/>
      <x v="28"/>
      <x v="1"/>
    </i>
    <i>
      <x v="70"/>
      <x v="19"/>
      <x v="65"/>
      <x v="70"/>
      <x/>
      <x/>
      <x v="5"/>
      <x v="66"/>
      <x v="43"/>
      <x/>
      <x v="29"/>
      <x v="1"/>
    </i>
    <i>
      <x v="71"/>
      <x v="22"/>
      <x v="66"/>
      <x v="71"/>
      <x/>
      <x/>
      <x v="1"/>
      <x v="67"/>
      <x v="44"/>
      <x/>
      <x v="30"/>
      <x v="1"/>
    </i>
    <i>
      <x v="72"/>
      <x v="20"/>
      <x v="67"/>
      <x v="72"/>
      <x/>
      <x/>
      <x v="1"/>
      <x v="68"/>
      <x v="45"/>
      <x/>
      <x v="31"/>
      <x v="1"/>
    </i>
    <i>
      <x v="73"/>
      <x v="20"/>
      <x v="68"/>
      <x v="73"/>
      <x/>
      <x/>
      <x v="7"/>
      <x v="69"/>
      <x v="46"/>
      <x/>
      <x v="32"/>
      <x v="1"/>
    </i>
    <i>
      <x v="74"/>
      <x v="20"/>
      <x v="69"/>
      <x v="74"/>
      <x/>
      <x/>
      <x v="7"/>
      <x v="70"/>
      <x v="47"/>
      <x/>
      <x v="33"/>
      <x v="1"/>
    </i>
    <i>
      <x v="75"/>
      <x v="23"/>
      <x v="70"/>
      <x v="75"/>
      <x/>
      <x v="1"/>
      <x v="2"/>
      <x v="2"/>
      <x v="48"/>
      <x/>
      <x v="34"/>
      <x/>
    </i>
    <i>
      <x v="76"/>
      <x v="24"/>
      <x v="71"/>
      <x v="76"/>
      <x/>
      <x/>
      <x v="1"/>
      <x v="71"/>
      <x v="49"/>
      <x/>
      <x v="35"/>
      <x v="1"/>
    </i>
    <i>
      <x v="77"/>
      <x v="21"/>
      <x v="72"/>
      <x v="77"/>
      <x/>
      <x/>
      <x v="5"/>
      <x v="72"/>
      <x v="50"/>
      <x/>
      <x v="36"/>
      <x v="1"/>
    </i>
    <i>
      <x v="78"/>
      <x v="21"/>
      <x v="73"/>
      <x v="78"/>
      <x/>
      <x/>
      <x v="1"/>
      <x v="73"/>
      <x v="51"/>
      <x/>
      <x v="37"/>
      <x v="1"/>
    </i>
    <i>
      <x v="79"/>
      <x v="16"/>
      <x v="74"/>
      <x v="79"/>
      <x/>
      <x/>
      <x v="1"/>
      <x v="74"/>
      <x v="52"/>
      <x/>
      <x v="38"/>
      <x v="1"/>
    </i>
    <i>
      <x v="80"/>
      <x v="16"/>
      <x v="75"/>
      <x v="80"/>
      <x/>
      <x/>
      <x v="1"/>
      <x v="75"/>
      <x v="53"/>
      <x/>
      <x v="39"/>
      <x v="1"/>
    </i>
    <i>
      <x v="81"/>
      <x v="19"/>
      <x v="76"/>
      <x v="81"/>
      <x/>
      <x/>
      <x v="1"/>
      <x v="76"/>
      <x v="54"/>
      <x/>
      <x v="40"/>
      <x v="1"/>
    </i>
    <i>
      <x v="82"/>
      <x v="19"/>
      <x v="77"/>
      <x v="82"/>
      <x/>
      <x/>
      <x v="1"/>
      <x v="77"/>
      <x v="55"/>
      <x/>
      <x v="41"/>
      <x v="1"/>
    </i>
    <i>
      <x v="83"/>
      <x v="16"/>
      <x v="78"/>
      <x v="83"/>
      <x/>
      <x/>
      <x v="1"/>
      <x v="78"/>
      <x v="56"/>
      <x/>
      <x v="42"/>
      <x v="1"/>
    </i>
    <i>
      <x v="84"/>
      <x v="18"/>
      <x v="79"/>
      <x v="84"/>
      <x/>
      <x/>
      <x v="1"/>
      <x v="79"/>
      <x v="57"/>
      <x/>
      <x v="43"/>
      <x v="1"/>
    </i>
    <i>
      <x v="85"/>
      <x v="15"/>
      <x v="80"/>
      <x v="85"/>
      <x/>
      <x/>
      <x v="1"/>
      <x v="80"/>
      <x v="58"/>
      <x/>
      <x/>
      <x v="1"/>
    </i>
    <i>
      <x v="86"/>
      <x v="25"/>
      <x v="81"/>
      <x v="86"/>
      <x/>
      <x/>
      <x v="5"/>
      <x v="81"/>
      <x v="59"/>
      <x/>
      <x v="44"/>
      <x v="1"/>
    </i>
    <i>
      <x v="87"/>
      <x v="26"/>
      <x v="82"/>
      <x v="87"/>
      <x/>
      <x/>
      <x v="1"/>
      <x v="82"/>
      <x v="60"/>
      <x/>
      <x v="45"/>
      <x v="1"/>
    </i>
    <i>
      <x v="88"/>
      <x v="27"/>
      <x v="83"/>
      <x v="88"/>
      <x/>
      <x/>
      <x v="7"/>
      <x v="83"/>
      <x v="61"/>
      <x/>
      <x v="46"/>
      <x v="1"/>
    </i>
    <i>
      <x v="89"/>
      <x v="28"/>
      <x v="84"/>
      <x v="89"/>
      <x/>
      <x/>
      <x v="1"/>
      <x v="84"/>
      <x v="62"/>
      <x/>
      <x v="47"/>
      <x v="1"/>
    </i>
    <i>
      <x v="90"/>
      <x v="27"/>
      <x v="85"/>
      <x v="90"/>
      <x/>
      <x/>
      <x v="5"/>
      <x v="85"/>
      <x v="63"/>
      <x/>
      <x v="48"/>
      <x v="1"/>
    </i>
    <i>
      <x v="91"/>
      <x v="19"/>
      <x v="86"/>
      <x v="91"/>
      <x/>
      <x/>
      <x v="1"/>
      <x v="86"/>
      <x v="64"/>
      <x/>
      <x v="49"/>
      <x v="1"/>
    </i>
    <i>
      <x v="92"/>
      <x v="21"/>
      <x v="87"/>
      <x v="92"/>
      <x/>
      <x/>
      <x v="1"/>
      <x v="87"/>
      <x v="65"/>
      <x/>
      <x v="50"/>
      <x v="1"/>
    </i>
    <i>
      <x v="93"/>
      <x v="19"/>
      <x v="88"/>
      <x v="93"/>
      <x/>
      <x/>
      <x v="1"/>
      <x v="88"/>
      <x v="66"/>
      <x/>
      <x v="51"/>
      <x v="1"/>
    </i>
    <i>
      <x v="94"/>
      <x v="21"/>
      <x v="89"/>
      <x v="94"/>
      <x/>
      <x/>
      <x v="1"/>
      <x v="89"/>
      <x v="67"/>
      <x/>
      <x v="52"/>
      <x v="1"/>
    </i>
    <i>
      <x v="95"/>
      <x v="27"/>
      <x v="90"/>
      <x v="95"/>
      <x/>
      <x/>
      <x v="5"/>
      <x v="90"/>
      <x v="68"/>
      <x/>
      <x v="53"/>
      <x v="1"/>
    </i>
    <i>
      <x v="96"/>
      <x v="16"/>
      <x v="91"/>
      <x v="96"/>
      <x/>
      <x/>
      <x v="1"/>
      <x v="91"/>
      <x v="69"/>
      <x/>
      <x v="54"/>
      <x v="1"/>
    </i>
    <i>
      <x v="97"/>
      <x v="27"/>
      <x v="92"/>
      <x v="97"/>
      <x/>
      <x/>
      <x v="5"/>
      <x v="92"/>
      <x v="70"/>
      <x/>
      <x v="55"/>
      <x v="1"/>
    </i>
    <i>
      <x v="98"/>
      <x v="27"/>
      <x v="93"/>
      <x v="98"/>
      <x/>
      <x/>
      <x v="5"/>
      <x v="93"/>
      <x v="71"/>
      <x/>
      <x v="56"/>
      <x v="1"/>
    </i>
    <i>
      <x v="99"/>
      <x v="29"/>
      <x v="94"/>
      <x v="99"/>
      <x/>
      <x/>
      <x v="1"/>
      <x v="94"/>
      <x v="72"/>
      <x/>
      <x v="57"/>
      <x v="1"/>
    </i>
    <i>
      <x v="100"/>
      <x v="30"/>
      <x v="95"/>
      <x v="100"/>
      <x/>
      <x/>
      <x v="5"/>
      <x v="95"/>
      <x v="73"/>
      <x/>
      <x v="58"/>
      <x v="1"/>
    </i>
    <i>
      <x v="101"/>
      <x v="31"/>
      <x v="96"/>
      <x v="101"/>
      <x/>
      <x/>
      <x v="1"/>
      <x v="96"/>
      <x v="74"/>
      <x/>
      <x v="59"/>
      <x v="1"/>
    </i>
    <i>
      <x v="102"/>
      <x v="32"/>
      <x v="97"/>
      <x v="102"/>
      <x/>
      <x/>
      <x v="7"/>
      <x v="97"/>
      <x/>
      <x/>
      <x v="60"/>
      <x v="1"/>
    </i>
    <i>
      <x v="103"/>
      <x v="19"/>
      <x v="98"/>
      <x v="103"/>
      <x/>
      <x/>
      <x v="1"/>
      <x v="98"/>
      <x v="75"/>
      <x/>
      <x v="61"/>
      <x v="1"/>
    </i>
    <i>
      <x v="104"/>
      <x v="19"/>
      <x v="99"/>
      <x v="104"/>
      <x/>
      <x/>
      <x v="1"/>
      <x v="99"/>
      <x v="76"/>
      <x/>
      <x v="62"/>
      <x v="1"/>
    </i>
    <i>
      <x v="105"/>
      <x v="33"/>
      <x v="100"/>
      <x v="105"/>
      <x/>
      <x/>
      <x v="1"/>
      <x v="100"/>
      <x v="77"/>
      <x/>
      <x v="63"/>
      <x v="1"/>
    </i>
    <i>
      <x v="106"/>
      <x v="34"/>
      <x v="101"/>
      <x v="106"/>
      <x/>
      <x/>
      <x v="1"/>
      <x v="101"/>
      <x v="78"/>
      <x/>
      <x v="64"/>
      <x v="1"/>
    </i>
    <i>
      <x v="107"/>
      <x v="35"/>
      <x v="102"/>
      <x v="107"/>
      <x/>
      <x/>
      <x v="1"/>
      <x v="102"/>
      <x v="79"/>
      <x/>
      <x v="65"/>
      <x v="1"/>
    </i>
    <i>
      <x v="108"/>
      <x v="36"/>
      <x v="103"/>
      <x v="108"/>
      <x/>
      <x/>
      <x v="5"/>
      <x v="103"/>
      <x/>
      <x/>
      <x v="66"/>
      <x v="1"/>
    </i>
    <i>
      <x v="109"/>
      <x v="37"/>
      <x v="104"/>
      <x v="109"/>
      <x/>
      <x/>
      <x v="1"/>
      <x v="104"/>
      <x v="80"/>
      <x/>
      <x/>
      <x v="1"/>
    </i>
    <i>
      <x v="110"/>
      <x v="37"/>
      <x v="105"/>
      <x v="110"/>
      <x/>
      <x/>
      <x v="1"/>
      <x v="105"/>
      <x v="81"/>
      <x/>
      <x/>
      <x v="1"/>
    </i>
    <i>
      <x v="111"/>
      <x v="37"/>
      <x v="106"/>
      <x v="111"/>
      <x/>
      <x/>
      <x v="1"/>
      <x v="106"/>
      <x v="82"/>
      <x/>
      <x/>
      <x v="1"/>
    </i>
    <i>
      <x v="112"/>
      <x v="37"/>
      <x v="107"/>
      <x v="112"/>
      <x/>
      <x/>
      <x v="7"/>
      <x v="107"/>
      <x v="83"/>
      <x/>
      <x v="67"/>
      <x v="1"/>
    </i>
    <i>
      <x v="113"/>
      <x v="37"/>
      <x v="108"/>
      <x v="113"/>
      <x/>
      <x/>
      <x v="6"/>
      <x v="108"/>
      <x v="84"/>
      <x/>
      <x v="68"/>
      <x v="1"/>
    </i>
    <i>
      <x v="114"/>
      <x v="38"/>
      <x v="109"/>
      <x v="114"/>
      <x/>
      <x/>
      <x v="10"/>
      <x v="109"/>
      <x v="85"/>
      <x/>
      <x v="69"/>
      <x v="1"/>
    </i>
    <i>
      <x v="115"/>
      <x v="39"/>
      <x v="110"/>
      <x v="115"/>
      <x/>
      <x/>
      <x v="7"/>
      <x v="110"/>
      <x v="86"/>
      <x/>
      <x/>
      <x v="1"/>
    </i>
    <i>
      <x v="116"/>
      <x v="37"/>
      <x v="111"/>
      <x v="116"/>
      <x/>
      <x/>
      <x v="1"/>
      <x v="111"/>
      <x v="87"/>
      <x/>
      <x/>
      <x v="1"/>
    </i>
    <i>
      <x v="117"/>
      <x v="38"/>
      <x v="112"/>
      <x v="117"/>
      <x/>
      <x/>
      <x v="5"/>
      <x v="112"/>
      <x v="88"/>
      <x/>
      <x v="70"/>
      <x v="1"/>
    </i>
    <i>
      <x v="118"/>
      <x v="38"/>
      <x v="113"/>
      <x v="118"/>
      <x/>
      <x/>
      <x v="7"/>
      <x v="113"/>
      <x/>
      <x/>
      <x v="71"/>
      <x v="1"/>
    </i>
    <i>
      <x v="119"/>
      <x v="37"/>
      <x v="114"/>
      <x v="119"/>
      <x/>
      <x/>
      <x v="7"/>
      <x v="114"/>
      <x v="89"/>
      <x/>
      <x v="72"/>
      <x v="1"/>
    </i>
    <i>
      <x v="120"/>
      <x v="38"/>
      <x v="115"/>
      <x v="120"/>
      <x/>
      <x/>
      <x v="5"/>
      <x v="115"/>
      <x v="90"/>
      <x/>
      <x v="73"/>
      <x v="1"/>
    </i>
    <i>
      <x v="121"/>
      <x v="40"/>
      <x v="116"/>
      <x v="121"/>
      <x/>
      <x/>
      <x v="4"/>
      <x v="116"/>
      <x/>
      <x/>
      <x/>
      <x v="1"/>
    </i>
    <i>
      <x v="122"/>
      <x v="40"/>
      <x v="117"/>
      <x v="122"/>
      <x/>
      <x/>
      <x v="1"/>
      <x v="117"/>
      <x v="91"/>
      <x/>
      <x/>
      <x v="1"/>
    </i>
    <i>
      <x v="123"/>
      <x v="40"/>
      <x v="118"/>
      <x v="123"/>
      <x/>
      <x/>
      <x v="1"/>
      <x v="118"/>
      <x/>
      <x/>
      <x/>
      <x v="1"/>
    </i>
    <i>
      <x v="124"/>
      <x v="40"/>
      <x v="119"/>
      <x v="124"/>
      <x/>
      <x/>
      <x v="3"/>
      <x v="119"/>
      <x v="92"/>
      <x/>
      <x/>
      <x v="1"/>
    </i>
    <i>
      <x v="125"/>
      <x v="5"/>
      <x/>
      <x v="125"/>
      <x/>
      <x v="1"/>
      <x v="2"/>
      <x v="2"/>
      <x/>
      <x/>
      <x/>
      <x/>
    </i>
    <i>
      <x v="126"/>
      <x v="41"/>
      <x/>
      <x v="126"/>
      <x/>
      <x v="2"/>
      <x v="11"/>
      <x v="120"/>
      <x/>
      <x/>
      <x v="74"/>
      <x/>
    </i>
    <i>
      <x v="127"/>
      <x v="37"/>
      <x v="120"/>
      <x v="127"/>
      <x/>
      <x/>
      <x v="12"/>
      <x v="121"/>
      <x v="86"/>
      <x/>
      <x/>
      <x v="1"/>
    </i>
    <i>
      <x v="128"/>
      <x v="42"/>
      <x/>
      <x v="128"/>
      <x/>
      <x v="1"/>
      <x v="2"/>
      <x v="2"/>
      <x/>
      <x/>
      <x v="75"/>
      <x/>
    </i>
    <i>
      <x v="129"/>
      <x v="43"/>
      <x/>
      <x v="129"/>
      <x/>
      <x v="1"/>
      <x v="2"/>
      <x v="2"/>
      <x/>
      <x/>
      <x v="76"/>
      <x/>
    </i>
    <i>
      <x v="130"/>
      <x v="40"/>
      <x/>
      <x v="130"/>
      <x/>
      <x v="1"/>
      <x v="2"/>
      <x v="2"/>
      <x/>
      <x/>
      <x v="77"/>
      <x/>
    </i>
    <i>
      <x v="131"/>
      <x v="44"/>
      <x/>
      <x v="131"/>
      <x/>
      <x v="1"/>
      <x v="2"/>
      <x v="2"/>
      <x/>
      <x/>
      <x/>
      <x/>
    </i>
    <i>
      <x v="132"/>
      <x v="37"/>
      <x/>
      <x v="132"/>
      <x/>
      <x v="1"/>
      <x v="2"/>
      <x v="2"/>
      <x/>
      <x/>
      <x v="78"/>
      <x/>
    </i>
  </rowItems>
  <colItems count="1">
    <i/>
  </colItems>
  <formats count="36">
    <format dxfId="35">
      <pivotArea type="all" dataOnly="0" outline="0" fieldPosition="0"/>
    </format>
    <format dxfId="34">
      <pivotArea field="0" type="button" dataOnly="0" labelOnly="1" outline="0" axis="axisRow" fieldPosition="0"/>
    </format>
    <format dxfId="33">
      <pivotArea field="1" type="button" dataOnly="0" labelOnly="1" outline="0" axis="axisRow" fieldPosition="1"/>
    </format>
    <format dxfId="32">
      <pivotArea field="11" type="button" dataOnly="0" labelOnly="1" outline="0" axis="axisRow" fieldPosition="2"/>
    </format>
    <format dxfId="31">
      <pivotArea field="13" type="button" dataOnly="0" labelOnly="1" outline="0" axis="axisRow" fieldPosition="3"/>
    </format>
    <format dxfId="30">
      <pivotArea field="14" type="button" dataOnly="0" labelOnly="1" outline="0" axis="axisRow" fieldPosition="4"/>
    </format>
    <format dxfId="29">
      <pivotArea field="17" type="button" dataOnly="0" labelOnly="1" outline="0" axis="axisRow" fieldPosition="5"/>
    </format>
    <format dxfId="28">
      <pivotArea field="18" type="button" dataOnly="0" labelOnly="1" outline="0" axis="axisRow" fieldPosition="6"/>
    </format>
    <format dxfId="27">
      <pivotArea field="19" type="button" dataOnly="0" labelOnly="1" outline="0" axis="axisRow" fieldPosition="7"/>
    </format>
    <format dxfId="26">
      <pivotArea field="20" type="button" dataOnly="0" labelOnly="1" outline="0" axis="axisRow" fieldPosition="8"/>
    </format>
    <format dxfId="25">
      <pivotArea field="21" type="button" dataOnly="0" labelOnly="1" outline="0" axis="axisRow" fieldPosition="9"/>
    </format>
    <format dxfId="24">
      <pivotArea field="22" type="button" dataOnly="0" labelOnly="1" outline="0" axis="axisRow" fieldPosition="10"/>
    </format>
    <format dxfId="23">
      <pivotArea field="23" type="button" dataOnly="0" labelOnly="1" outline="0" axis="axisRow" fieldPosition="11"/>
    </format>
    <format dxfId="22">
      <pivotArea dataOnly="0" labelOnly="1" outline="0" fieldPosition="0">
        <references count="1">
          <reference field="0" count="0"/>
        </references>
      </pivotArea>
    </format>
    <format dxfId="21">
      <pivotArea type="all" dataOnly="0" outline="0" fieldPosition="0"/>
    </format>
    <format dxfId="20">
      <pivotArea dataOnly="0" labelOnly="1" outline="0" fieldPosition="0">
        <references count="1">
          <reference field="0" count="0"/>
        </references>
      </pivotArea>
    </format>
    <format dxfId="19">
      <pivotArea field="0" type="button" dataOnly="0" labelOnly="1" outline="0" axis="axisRow" fieldPosition="0"/>
    </format>
    <format dxfId="18">
      <pivotArea field="1" type="button" dataOnly="0" labelOnly="1" outline="0" axis="axisRow" fieldPosition="1"/>
    </format>
    <format dxfId="17">
      <pivotArea field="11" type="button" dataOnly="0" labelOnly="1" outline="0" axis="axisRow" fieldPosition="2"/>
    </format>
    <format dxfId="16">
      <pivotArea field="13" type="button" dataOnly="0" labelOnly="1" outline="0" axis="axisRow" fieldPosition="3"/>
    </format>
    <format dxfId="15">
      <pivotArea field="14" type="button" dataOnly="0" labelOnly="1" outline="0" axis="axisRow" fieldPosition="4"/>
    </format>
    <format dxfId="14">
      <pivotArea field="17" type="button" dataOnly="0" labelOnly="1" outline="0" axis="axisRow" fieldPosition="5"/>
    </format>
    <format dxfId="13">
      <pivotArea field="18" type="button" dataOnly="0" labelOnly="1" outline="0" axis="axisRow" fieldPosition="6"/>
    </format>
    <format dxfId="12">
      <pivotArea field="19" type="button" dataOnly="0" labelOnly="1" outline="0" axis="axisRow" fieldPosition="7"/>
    </format>
    <format dxfId="11">
      <pivotArea field="20" type="button" dataOnly="0" labelOnly="1" outline="0" axis="axisRow" fieldPosition="8"/>
    </format>
    <format dxfId="10">
      <pivotArea field="21" type="button" dataOnly="0" labelOnly="1" outline="0" axis="axisRow" fieldPosition="9"/>
    </format>
    <format dxfId="9">
      <pivotArea field="22" type="button" dataOnly="0" labelOnly="1" outline="0" axis="axisRow" fieldPosition="10"/>
    </format>
    <format dxfId="8">
      <pivotArea field="23" type="button" dataOnly="0" labelOnly="1" outline="0" axis="axisRow" fieldPosition="11"/>
    </format>
    <format dxfId="7">
      <pivotArea field="21" type="button" dataOnly="0" labelOnly="1" outline="0" axis="axisRow" fieldPosition="9"/>
    </format>
    <format dxfId="6">
      <pivotArea field="11" type="button" dataOnly="0" labelOnly="1" outline="0" axis="axisRow" fieldPosition="2"/>
    </format>
    <format dxfId="5">
      <pivotArea field="13" type="button" dataOnly="0" labelOnly="1" outline="0" axis="axisRow" fieldPosition="3"/>
    </format>
    <format dxfId="4">
      <pivotArea field="14" type="button" dataOnly="0" labelOnly="1" outline="0" axis="axisRow" fieldPosition="4"/>
    </format>
    <format dxfId="3">
      <pivotArea field="17" type="button" dataOnly="0" labelOnly="1" outline="0" axis="axisRow" fieldPosition="5"/>
    </format>
    <format dxfId="2">
      <pivotArea field="18" type="button" dataOnly="0" labelOnly="1" outline="0" axis="axisRow" fieldPosition="6"/>
    </format>
    <format dxfId="1">
      <pivotArea field="19" type="button" dataOnly="0" labelOnly="1" outline="0" axis="axisRow" fieldPosition="7"/>
    </format>
    <format dxfId="0">
      <pivotArea field="20" type="button" dataOnly="0" labelOnly="1" outline="0" axis="axisRow" fieldPosition="8"/>
    </format>
  </formats>
  <pivotTableStyleInfo name="PivotStyleLightCustom 2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eme23213">
  <a:themeElements>
    <a:clrScheme name="Geotab Brand Colors">
      <a:dk1>
        <a:srgbClr val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X141"/>
  <sheetViews>
    <sheetView topLeftCell="AG1" workbookViewId="0">
      <pane ySplit="8" topLeftCell="A9" activePane="bottomLeft" state="frozen"/>
      <selection pane="bottomLeft" activeCell="AI16" sqref="AI16"/>
    </sheetView>
  </sheetViews>
  <sheetFormatPr defaultColWidth="8.85546875" defaultRowHeight="12.75"/>
  <cols>
    <col min="1" max="1" width="14.42578125" customWidth="1"/>
    <col min="2" max="2" width="18.42578125" customWidth="1"/>
    <col min="3" max="7" width="21.42578125" customWidth="1"/>
    <col min="8" max="8" width="8.42578125" bestFit="1" customWidth="1"/>
    <col min="9" max="9" width="21.42578125" customWidth="1"/>
    <col min="10" max="12" width="12.42578125" customWidth="1"/>
    <col min="13" max="13" width="46" customWidth="1"/>
    <col min="14" max="15" width="21.85546875" customWidth="1"/>
    <col min="16" max="17" width="15" customWidth="1"/>
    <col min="18" max="18" width="17.42578125" customWidth="1"/>
    <col min="19" max="19" width="18" customWidth="1"/>
    <col min="20" max="20" width="11" customWidth="1"/>
    <col min="21" max="23" width="14" customWidth="1"/>
    <col min="24" max="24" width="13" customWidth="1"/>
    <col min="25" max="28" width="11" customWidth="1"/>
    <col min="29" max="30" width="18" customWidth="1"/>
    <col min="31" max="31" width="31" customWidth="1"/>
    <col min="32" max="32" width="44" style="49" customWidth="1"/>
    <col min="33" max="33" width="23" customWidth="1"/>
    <col min="34" max="37" width="28" customWidth="1"/>
  </cols>
  <sheetData>
    <row r="1" spans="1:50">
      <c r="A1" s="4" t="s">
        <v>23</v>
      </c>
      <c r="B1" s="3" t="s">
        <v>600</v>
      </c>
    </row>
    <row r="2" spans="1:50">
      <c r="A2" s="4" t="s">
        <v>19</v>
      </c>
      <c r="B2" s="3">
        <v>45975.862932974538</v>
      </c>
      <c r="C2" s="3"/>
      <c r="D2" s="3"/>
      <c r="E2" s="3"/>
      <c r="F2" s="3"/>
      <c r="G2" s="3"/>
      <c r="H2" s="3"/>
      <c r="I2" s="3"/>
    </row>
    <row r="3" spans="1:50">
      <c r="A3" s="4" t="s">
        <v>310</v>
      </c>
      <c r="B3" s="3" t="s">
        <v>601</v>
      </c>
      <c r="C3" s="3"/>
      <c r="D3" s="3"/>
      <c r="E3" s="3"/>
      <c r="F3" s="3"/>
      <c r="G3" s="3"/>
      <c r="H3" s="3"/>
      <c r="I3" s="3"/>
    </row>
    <row r="4" spans="1:50">
      <c r="A4" s="4" t="s">
        <v>24</v>
      </c>
      <c r="B4" s="3" t="s">
        <v>25</v>
      </c>
      <c r="C4" s="3"/>
      <c r="D4" s="3"/>
      <c r="E4" s="3"/>
      <c r="F4" s="3"/>
      <c r="G4" s="3"/>
      <c r="H4" s="3"/>
      <c r="I4" s="3"/>
    </row>
    <row r="5" spans="1:50">
      <c r="A5" s="4" t="s">
        <v>34</v>
      </c>
      <c r="B5" s="3" t="b">
        <v>1</v>
      </c>
      <c r="C5" s="3"/>
      <c r="D5" s="3"/>
      <c r="E5" s="3"/>
      <c r="F5" s="3"/>
      <c r="G5" s="3"/>
      <c r="H5" s="3"/>
      <c r="I5" s="3"/>
    </row>
    <row r="6" spans="1:50">
      <c r="A6" s="4" t="s">
        <v>35</v>
      </c>
      <c r="B6" s="3" t="s">
        <v>36</v>
      </c>
    </row>
    <row r="7" spans="1:50">
      <c r="A7" s="4" t="s">
        <v>159</v>
      </c>
      <c r="B7" s="3" t="s">
        <v>160</v>
      </c>
    </row>
    <row r="8" spans="1:50" ht="32.25" customHeight="1" thickBot="1">
      <c r="A8" s="1" t="s">
        <v>1</v>
      </c>
      <c r="B8" s="1" t="s">
        <v>3</v>
      </c>
      <c r="C8" s="1" t="s">
        <v>5</v>
      </c>
      <c r="D8" s="1" t="s">
        <v>467</v>
      </c>
      <c r="E8" s="1" t="s">
        <v>528</v>
      </c>
      <c r="F8" s="1" t="s">
        <v>171</v>
      </c>
      <c r="G8" s="1" t="s">
        <v>172</v>
      </c>
      <c r="H8" s="1" t="s">
        <v>41</v>
      </c>
      <c r="I8" s="1" t="s">
        <v>289</v>
      </c>
      <c r="J8" s="1" t="s">
        <v>44</v>
      </c>
      <c r="K8" s="1" t="s">
        <v>16</v>
      </c>
      <c r="L8" s="1" t="s">
        <v>260</v>
      </c>
      <c r="M8" s="1" t="s">
        <v>45</v>
      </c>
      <c r="N8" s="1" t="s">
        <v>2</v>
      </c>
      <c r="O8" s="1" t="s">
        <v>17</v>
      </c>
      <c r="P8" s="1" t="s">
        <v>20</v>
      </c>
      <c r="Q8" s="1" t="s">
        <v>6</v>
      </c>
      <c r="R8" s="1" t="s">
        <v>18</v>
      </c>
      <c r="S8" s="1" t="s">
        <v>42</v>
      </c>
      <c r="T8" s="1" t="s">
        <v>43</v>
      </c>
      <c r="U8" s="1" t="s">
        <v>7</v>
      </c>
      <c r="V8" s="1" t="s">
        <v>8</v>
      </c>
      <c r="W8" s="1" t="s">
        <v>9</v>
      </c>
      <c r="X8" s="1" t="s">
        <v>10</v>
      </c>
      <c r="Y8" s="1" t="s">
        <v>602</v>
      </c>
      <c r="Z8" s="1" t="s">
        <v>11</v>
      </c>
      <c r="AA8" s="1" t="s">
        <v>12</v>
      </c>
      <c r="AB8" s="1" t="s">
        <v>312</v>
      </c>
      <c r="AC8" s="1" t="s">
        <v>313</v>
      </c>
      <c r="AD8" s="1" t="s">
        <v>13</v>
      </c>
      <c r="AE8" s="1" t="s">
        <v>422</v>
      </c>
      <c r="AF8" s="1" t="s">
        <v>14</v>
      </c>
      <c r="AG8" s="50" t="s">
        <v>4</v>
      </c>
      <c r="AH8" s="1" t="s">
        <v>15</v>
      </c>
      <c r="AI8" s="1" t="s">
        <v>469</v>
      </c>
      <c r="AJ8" s="1" t="s">
        <v>541</v>
      </c>
      <c r="AK8" s="1" t="s">
        <v>540</v>
      </c>
      <c r="AL8" s="1" t="s">
        <v>46</v>
      </c>
      <c r="AM8" s="1" t="s">
        <v>26</v>
      </c>
      <c r="AN8" s="1" t="s">
        <v>27</v>
      </c>
      <c r="AO8" s="1" t="s">
        <v>28</v>
      </c>
      <c r="AP8" s="1" t="s">
        <v>29</v>
      </c>
      <c r="AQ8" s="1" t="s">
        <v>30</v>
      </c>
      <c r="AR8" s="1" t="s">
        <v>31</v>
      </c>
      <c r="AS8" s="1" t="s">
        <v>32</v>
      </c>
      <c r="AT8" s="1" t="s">
        <v>33</v>
      </c>
      <c r="AU8" s="1" t="s">
        <v>40</v>
      </c>
      <c r="AV8" s="1" t="s">
        <v>37</v>
      </c>
      <c r="AW8" s="1" t="s">
        <v>38</v>
      </c>
      <c r="AX8" s="1" t="s">
        <v>39</v>
      </c>
    </row>
    <row r="9" spans="1:50" ht="63.75">
      <c r="A9" s="2" t="s">
        <v>603</v>
      </c>
      <c r="B9" s="2" t="s">
        <v>604</v>
      </c>
      <c r="C9" s="2" t="s">
        <v>605</v>
      </c>
      <c r="D9" s="2" t="s">
        <v>606</v>
      </c>
      <c r="E9" s="2" t="s">
        <v>607</v>
      </c>
      <c r="I9" s="2" t="s">
        <v>608</v>
      </c>
      <c r="J9" s="2" t="s">
        <v>609</v>
      </c>
      <c r="K9" s="2"/>
      <c r="L9" s="2" t="b">
        <v>0</v>
      </c>
      <c r="M9" s="2"/>
      <c r="Q9" s="2">
        <v>0</v>
      </c>
      <c r="R9" s="6">
        <v>0</v>
      </c>
      <c r="S9" s="5">
        <v>45948.893386898148</v>
      </c>
      <c r="T9" s="5">
        <v>54789.541666666664</v>
      </c>
      <c r="U9" s="2" t="s">
        <v>610</v>
      </c>
      <c r="V9" s="2">
        <v>120</v>
      </c>
      <c r="W9" s="2" t="s">
        <v>611</v>
      </c>
      <c r="X9" s="2" t="s">
        <v>611</v>
      </c>
      <c r="Y9" s="2" t="s">
        <v>612</v>
      </c>
      <c r="Z9" s="2"/>
      <c r="AA9" s="2"/>
      <c r="AB9" s="2" t="b">
        <v>0</v>
      </c>
      <c r="AC9" s="2" t="s">
        <v>613</v>
      </c>
      <c r="AD9" s="2"/>
      <c r="AE9" s="2" t="s">
        <v>614</v>
      </c>
      <c r="AF9" s="2" t="s">
        <v>615</v>
      </c>
      <c r="AG9" s="51"/>
      <c r="AJ9" s="3" t="s">
        <v>616</v>
      </c>
      <c r="AK9" s="57" t="s">
        <v>617</v>
      </c>
      <c r="AL9" s="3"/>
      <c r="AS9">
        <v>0</v>
      </c>
      <c r="AT9">
        <v>0</v>
      </c>
      <c r="AX9" t="s">
        <v>618</v>
      </c>
    </row>
    <row r="10" spans="1:50">
      <c r="A10" s="2" t="s">
        <v>619</v>
      </c>
      <c r="B10" s="2" t="s">
        <v>620</v>
      </c>
      <c r="C10" s="2" t="s">
        <v>621</v>
      </c>
      <c r="D10" s="2" t="s">
        <v>622</v>
      </c>
      <c r="E10" s="2" t="s">
        <v>621</v>
      </c>
      <c r="I10" s="2" t="s">
        <v>608</v>
      </c>
      <c r="J10" s="2" t="s">
        <v>623</v>
      </c>
      <c r="K10" s="2" t="s">
        <v>624</v>
      </c>
      <c r="L10" s="2" t="b">
        <v>0</v>
      </c>
      <c r="M10" s="2" t="s">
        <v>625</v>
      </c>
      <c r="N10" s="2" t="s">
        <v>626</v>
      </c>
      <c r="O10" s="2" t="s">
        <v>627</v>
      </c>
      <c r="P10" s="2"/>
      <c r="Q10" s="2">
        <v>283.65957641601563</v>
      </c>
      <c r="R10" s="6">
        <v>348.29408023148147</v>
      </c>
      <c r="S10" s="5">
        <v>45782.820605104163</v>
      </c>
      <c r="T10" s="5">
        <v>54789.541666666664</v>
      </c>
      <c r="U10" s="2" t="s">
        <v>610</v>
      </c>
      <c r="V10" s="2">
        <v>120</v>
      </c>
      <c r="W10" s="2" t="s">
        <v>628</v>
      </c>
      <c r="X10" s="2" t="s">
        <v>629</v>
      </c>
      <c r="Y10" s="2" t="s">
        <v>630</v>
      </c>
      <c r="Z10" s="2" t="s">
        <v>631</v>
      </c>
      <c r="AB10" s="2" t="b">
        <v>0</v>
      </c>
      <c r="AC10" s="2" t="s">
        <v>613</v>
      </c>
      <c r="AE10" s="58" t="s">
        <v>632</v>
      </c>
      <c r="AF10" s="2" t="s">
        <v>601</v>
      </c>
      <c r="AG10" s="51" t="s">
        <v>633</v>
      </c>
      <c r="AH10" s="3">
        <v>45974.543079768519</v>
      </c>
      <c r="AI10" s="3">
        <v>45975.848716342596</v>
      </c>
      <c r="AL10" s="3" t="s">
        <v>47</v>
      </c>
      <c r="AS10">
        <v>0</v>
      </c>
      <c r="AT10">
        <v>0</v>
      </c>
      <c r="AX10" t="s">
        <v>618</v>
      </c>
    </row>
    <row r="11" spans="1:50">
      <c r="A11" s="2" t="s">
        <v>634</v>
      </c>
      <c r="B11" s="2" t="s">
        <v>635</v>
      </c>
      <c r="C11" s="2" t="s">
        <v>636</v>
      </c>
      <c r="D11" s="2" t="s">
        <v>637</v>
      </c>
      <c r="E11" s="2" t="s">
        <v>636</v>
      </c>
      <c r="I11" s="2" t="s">
        <v>608</v>
      </c>
      <c r="L11" s="2" t="b">
        <v>0</v>
      </c>
      <c r="Q11" s="2">
        <v>0</v>
      </c>
      <c r="R11" s="6">
        <v>0</v>
      </c>
      <c r="S11" s="5">
        <v>45929.438658807871</v>
      </c>
      <c r="T11" s="5">
        <v>54789.541666666664</v>
      </c>
      <c r="U11" s="2" t="s">
        <v>638</v>
      </c>
      <c r="V11" s="2">
        <v>-1</v>
      </c>
      <c r="Y11" s="2"/>
      <c r="Z11" s="2"/>
      <c r="AA11" s="2"/>
      <c r="AB11" s="2" t="b">
        <v>0</v>
      </c>
      <c r="AC11" s="2" t="s">
        <v>639</v>
      </c>
      <c r="AD11" s="2"/>
      <c r="AF11" s="2" t="s">
        <v>615</v>
      </c>
      <c r="AG11" s="51" t="s">
        <v>640</v>
      </c>
      <c r="AS11">
        <v>0</v>
      </c>
      <c r="AT11">
        <v>0</v>
      </c>
      <c r="AX11" t="s">
        <v>618</v>
      </c>
    </row>
    <row r="12" spans="1:50">
      <c r="A12" s="2" t="s">
        <v>641</v>
      </c>
      <c r="B12" s="2" t="s">
        <v>642</v>
      </c>
      <c r="C12" s="2" t="s">
        <v>636</v>
      </c>
      <c r="D12" s="2" t="s">
        <v>637</v>
      </c>
      <c r="E12" s="2" t="s">
        <v>636</v>
      </c>
      <c r="I12" s="2" t="s">
        <v>608</v>
      </c>
      <c r="L12" s="2" t="b">
        <v>0</v>
      </c>
      <c r="Q12" s="2">
        <v>0</v>
      </c>
      <c r="R12" s="6">
        <v>521.54166666666663</v>
      </c>
      <c r="S12" s="5">
        <v>45929.439780810186</v>
      </c>
      <c r="T12" s="5">
        <v>54789.541666666664</v>
      </c>
      <c r="U12" s="2" t="s">
        <v>638</v>
      </c>
      <c r="V12" s="2">
        <v>-1</v>
      </c>
      <c r="AB12" s="2" t="b">
        <v>0</v>
      </c>
      <c r="AC12" s="2" t="s">
        <v>639</v>
      </c>
      <c r="AF12" s="2" t="s">
        <v>615</v>
      </c>
      <c r="AG12" s="51" t="s">
        <v>643</v>
      </c>
      <c r="AS12">
        <v>0</v>
      </c>
      <c r="AT12">
        <v>0</v>
      </c>
      <c r="AX12" t="s">
        <v>618</v>
      </c>
    </row>
    <row r="13" spans="1:50">
      <c r="A13" s="2" t="s">
        <v>644</v>
      </c>
      <c r="B13" s="2" t="s">
        <v>645</v>
      </c>
      <c r="C13" s="2" t="s">
        <v>646</v>
      </c>
      <c r="D13" s="2" t="s">
        <v>647</v>
      </c>
      <c r="E13" s="2" t="s">
        <v>648</v>
      </c>
      <c r="F13" s="2" t="s">
        <v>649</v>
      </c>
      <c r="G13" s="2" t="s">
        <v>650</v>
      </c>
      <c r="H13" s="2" t="s">
        <v>651</v>
      </c>
      <c r="I13" s="2" t="s">
        <v>608</v>
      </c>
      <c r="J13" s="2" t="s">
        <v>623</v>
      </c>
      <c r="K13" s="2" t="s">
        <v>624</v>
      </c>
      <c r="L13" s="2" t="b">
        <v>0</v>
      </c>
      <c r="M13" s="2" t="s">
        <v>652</v>
      </c>
      <c r="N13" s="2" t="s">
        <v>653</v>
      </c>
      <c r="O13" s="2" t="s">
        <v>627</v>
      </c>
      <c r="Q13" s="2">
        <v>153.15072631835938</v>
      </c>
      <c r="R13" s="6">
        <v>344.52307077546294</v>
      </c>
      <c r="S13" s="5">
        <v>45842.406248842592</v>
      </c>
      <c r="T13" s="5">
        <v>54789.541666666664</v>
      </c>
      <c r="U13" s="2" t="s">
        <v>610</v>
      </c>
      <c r="V13" s="2">
        <v>120</v>
      </c>
      <c r="W13" s="2" t="s">
        <v>628</v>
      </c>
      <c r="X13" s="2" t="s">
        <v>629</v>
      </c>
      <c r="Y13" s="2" t="s">
        <v>654</v>
      </c>
      <c r="AB13" s="2" t="b">
        <v>0</v>
      </c>
      <c r="AC13" s="2" t="s">
        <v>655</v>
      </c>
      <c r="AE13" s="58" t="s">
        <v>632</v>
      </c>
      <c r="AF13" s="2" t="s">
        <v>601</v>
      </c>
      <c r="AG13" s="51" t="s">
        <v>656</v>
      </c>
      <c r="AH13" s="3">
        <v>45975.658741666666</v>
      </c>
      <c r="AI13" s="3">
        <v>45975.848336574076</v>
      </c>
      <c r="AL13" s="3" t="s">
        <v>47</v>
      </c>
      <c r="AS13">
        <v>0</v>
      </c>
      <c r="AT13">
        <v>0</v>
      </c>
      <c r="AX13" t="s">
        <v>618</v>
      </c>
    </row>
    <row r="14" spans="1:50">
      <c r="A14" s="2" t="s">
        <v>657</v>
      </c>
      <c r="B14" s="2" t="s">
        <v>658</v>
      </c>
      <c r="C14" s="2" t="s">
        <v>636</v>
      </c>
      <c r="D14" s="2" t="s">
        <v>637</v>
      </c>
      <c r="E14" s="2" t="s">
        <v>636</v>
      </c>
      <c r="I14" s="2" t="s">
        <v>608</v>
      </c>
      <c r="L14" s="2" t="b">
        <v>0</v>
      </c>
      <c r="Q14" s="2">
        <v>0</v>
      </c>
      <c r="R14" s="6">
        <v>0</v>
      </c>
      <c r="S14" s="5">
        <v>45929.440471527778</v>
      </c>
      <c r="T14" s="5">
        <v>54789.541666666664</v>
      </c>
      <c r="U14" s="2" t="s">
        <v>638</v>
      </c>
      <c r="V14" s="2">
        <v>-1</v>
      </c>
      <c r="AB14" s="2" t="b">
        <v>0</v>
      </c>
      <c r="AC14" s="2" t="s">
        <v>639</v>
      </c>
      <c r="AF14" s="2" t="s">
        <v>615</v>
      </c>
      <c r="AS14">
        <v>0</v>
      </c>
      <c r="AT14">
        <v>0</v>
      </c>
      <c r="AX14" t="s">
        <v>618</v>
      </c>
    </row>
    <row r="15" spans="1:50">
      <c r="A15" s="2" t="s">
        <v>659</v>
      </c>
      <c r="B15" s="2" t="s">
        <v>660</v>
      </c>
      <c r="C15" s="2" t="s">
        <v>621</v>
      </c>
      <c r="D15" s="2" t="s">
        <v>622</v>
      </c>
      <c r="E15" s="2" t="s">
        <v>621</v>
      </c>
      <c r="I15" s="2" t="s">
        <v>608</v>
      </c>
      <c r="J15" s="2" t="s">
        <v>623</v>
      </c>
      <c r="K15" s="2" t="s">
        <v>624</v>
      </c>
      <c r="L15" s="2" t="b">
        <v>0</v>
      </c>
      <c r="M15" s="2" t="s">
        <v>661</v>
      </c>
      <c r="N15" s="2" t="s">
        <v>662</v>
      </c>
      <c r="O15" s="2" t="s">
        <v>627</v>
      </c>
      <c r="Q15" s="2">
        <v>398.49600219726563</v>
      </c>
      <c r="R15" s="6">
        <v>277.74583333333334</v>
      </c>
      <c r="S15" s="5">
        <v>45782.825087384263</v>
      </c>
      <c r="T15" s="5">
        <v>54789.541666666664</v>
      </c>
      <c r="U15" s="2" t="s">
        <v>610</v>
      </c>
      <c r="V15" s="2">
        <v>120</v>
      </c>
      <c r="W15" s="2" t="s">
        <v>628</v>
      </c>
      <c r="X15" s="2" t="s">
        <v>629</v>
      </c>
      <c r="Y15" s="2" t="s">
        <v>663</v>
      </c>
      <c r="AB15" s="2" t="b">
        <v>0</v>
      </c>
      <c r="AC15" s="2" t="s">
        <v>613</v>
      </c>
      <c r="AE15" s="2" t="s">
        <v>664</v>
      </c>
      <c r="AF15" s="2" t="s">
        <v>601</v>
      </c>
      <c r="AG15" s="51" t="s">
        <v>665</v>
      </c>
      <c r="AH15" s="3">
        <v>45967.486746458337</v>
      </c>
      <c r="AI15" s="3">
        <v>45975.469049699073</v>
      </c>
      <c r="AL15" s="3" t="s">
        <v>47</v>
      </c>
      <c r="AS15">
        <v>0</v>
      </c>
      <c r="AT15">
        <v>0</v>
      </c>
      <c r="AX15" t="s">
        <v>618</v>
      </c>
    </row>
    <row r="16" spans="1:50">
      <c r="A16" s="2" t="s">
        <v>666</v>
      </c>
      <c r="B16" s="2" t="s">
        <v>667</v>
      </c>
      <c r="C16" s="2" t="s">
        <v>621</v>
      </c>
      <c r="D16" s="2" t="s">
        <v>622</v>
      </c>
      <c r="E16" s="2" t="s">
        <v>621</v>
      </c>
      <c r="I16" s="2" t="s">
        <v>608</v>
      </c>
      <c r="J16" s="2" t="s">
        <v>623</v>
      </c>
      <c r="K16" s="2" t="s">
        <v>624</v>
      </c>
      <c r="L16" s="2" t="b">
        <v>0</v>
      </c>
      <c r="M16" s="2" t="s">
        <v>625</v>
      </c>
      <c r="N16" s="2" t="s">
        <v>626</v>
      </c>
      <c r="O16" s="2" t="s">
        <v>627</v>
      </c>
      <c r="Q16" s="2">
        <v>41.567630767822266</v>
      </c>
      <c r="R16" s="6">
        <v>125.61197335648149</v>
      </c>
      <c r="S16" s="5">
        <v>45782.834631076388</v>
      </c>
      <c r="T16" s="5">
        <v>54789.541666666664</v>
      </c>
      <c r="U16" s="2" t="s">
        <v>610</v>
      </c>
      <c r="V16" s="2">
        <v>120</v>
      </c>
      <c r="W16" s="2" t="s">
        <v>628</v>
      </c>
      <c r="X16" s="2" t="s">
        <v>629</v>
      </c>
      <c r="Y16" s="2" t="s">
        <v>668</v>
      </c>
      <c r="AB16" s="2" t="b">
        <v>0</v>
      </c>
      <c r="AC16" s="2" t="s">
        <v>655</v>
      </c>
      <c r="AE16" s="58" t="s">
        <v>632</v>
      </c>
      <c r="AF16" s="2" t="s">
        <v>601</v>
      </c>
      <c r="AG16" s="51" t="s">
        <v>669</v>
      </c>
      <c r="AH16" s="3">
        <v>45974.5473684838</v>
      </c>
      <c r="AI16" s="3">
        <v>45975.842495798614</v>
      </c>
      <c r="AL16" s="3" t="s">
        <v>47</v>
      </c>
      <c r="AS16">
        <v>0</v>
      </c>
      <c r="AT16">
        <v>0</v>
      </c>
      <c r="AX16" t="s">
        <v>618</v>
      </c>
    </row>
    <row r="17" spans="1:50">
      <c r="A17" s="2" t="s">
        <v>670</v>
      </c>
      <c r="B17" s="2" t="s">
        <v>671</v>
      </c>
      <c r="C17" s="2" t="s">
        <v>672</v>
      </c>
      <c r="D17" s="2" t="s">
        <v>673</v>
      </c>
      <c r="E17" s="2" t="s">
        <v>674</v>
      </c>
      <c r="I17" s="2" t="s">
        <v>608</v>
      </c>
      <c r="J17" s="2" t="s">
        <v>623</v>
      </c>
      <c r="K17" s="2" t="s">
        <v>624</v>
      </c>
      <c r="L17" s="2" t="b">
        <v>0</v>
      </c>
      <c r="M17" s="2" t="s">
        <v>675</v>
      </c>
      <c r="N17" s="2" t="s">
        <v>676</v>
      </c>
      <c r="O17" s="2" t="s">
        <v>627</v>
      </c>
      <c r="Q17" s="2">
        <v>229.87763977050781</v>
      </c>
      <c r="R17" s="6">
        <v>388.45000003472222</v>
      </c>
      <c r="S17" s="5">
        <v>45782.83416583333</v>
      </c>
      <c r="T17" s="5">
        <v>54789.541666666664</v>
      </c>
      <c r="U17" s="2" t="s">
        <v>610</v>
      </c>
      <c r="V17" s="2">
        <v>120</v>
      </c>
      <c r="W17" s="2" t="s">
        <v>628</v>
      </c>
      <c r="X17" s="2" t="s">
        <v>629</v>
      </c>
      <c r="Y17" s="2" t="s">
        <v>677</v>
      </c>
      <c r="AB17" s="2" t="b">
        <v>0</v>
      </c>
      <c r="AC17" s="2" t="s">
        <v>655</v>
      </c>
      <c r="AE17" s="2" t="s">
        <v>678</v>
      </c>
      <c r="AF17" s="2" t="s">
        <v>601</v>
      </c>
      <c r="AG17" s="51" t="s">
        <v>679</v>
      </c>
      <c r="AH17" s="3">
        <v>45975.821491122682</v>
      </c>
      <c r="AI17" s="3">
        <v>45975.843586030096</v>
      </c>
      <c r="AL17" s="3" t="s">
        <v>47</v>
      </c>
      <c r="AS17">
        <v>0</v>
      </c>
      <c r="AT17">
        <v>0</v>
      </c>
      <c r="AX17" t="s">
        <v>618</v>
      </c>
    </row>
    <row r="18" spans="1:50">
      <c r="A18" s="2" t="s">
        <v>680</v>
      </c>
      <c r="B18" s="2" t="s">
        <v>681</v>
      </c>
      <c r="C18" s="2" t="s">
        <v>672</v>
      </c>
      <c r="D18" s="2" t="s">
        <v>673</v>
      </c>
      <c r="E18" s="2" t="s">
        <v>674</v>
      </c>
      <c r="I18" s="2" t="s">
        <v>608</v>
      </c>
      <c r="J18" s="2" t="s">
        <v>623</v>
      </c>
      <c r="K18" s="2" t="s">
        <v>624</v>
      </c>
      <c r="L18" s="2" t="b">
        <v>0</v>
      </c>
      <c r="M18" s="2" t="s">
        <v>675</v>
      </c>
      <c r="N18" s="2" t="s">
        <v>676</v>
      </c>
      <c r="O18" s="2" t="s">
        <v>627</v>
      </c>
      <c r="Q18" s="2">
        <v>265.51220703125</v>
      </c>
      <c r="R18" s="6">
        <v>322.36666666666667</v>
      </c>
      <c r="S18" s="5">
        <v>45782.834383773152</v>
      </c>
      <c r="T18" s="5">
        <v>54789.541666666664</v>
      </c>
      <c r="U18" s="2" t="s">
        <v>610</v>
      </c>
      <c r="V18" s="2">
        <v>120</v>
      </c>
      <c r="W18" s="2" t="s">
        <v>628</v>
      </c>
      <c r="X18" s="2" t="s">
        <v>629</v>
      </c>
      <c r="Y18" s="2" t="s">
        <v>682</v>
      </c>
      <c r="AB18" s="2" t="b">
        <v>0</v>
      </c>
      <c r="AC18" s="2" t="s">
        <v>655</v>
      </c>
      <c r="AE18" s="2" t="s">
        <v>678</v>
      </c>
      <c r="AF18" s="2" t="s">
        <v>601</v>
      </c>
      <c r="AG18" s="51" t="s">
        <v>683</v>
      </c>
      <c r="AH18" s="3">
        <v>45975.741983321757</v>
      </c>
      <c r="AI18" s="3">
        <v>45975.847457858799</v>
      </c>
      <c r="AL18" s="3" t="s">
        <v>47</v>
      </c>
      <c r="AS18">
        <v>0</v>
      </c>
      <c r="AT18">
        <v>0</v>
      </c>
      <c r="AX18" t="s">
        <v>618</v>
      </c>
    </row>
    <row r="19" spans="1:50">
      <c r="A19" s="2" t="s">
        <v>684</v>
      </c>
      <c r="B19" s="2" t="s">
        <v>685</v>
      </c>
      <c r="C19" s="2" t="s">
        <v>621</v>
      </c>
      <c r="D19" s="2" t="s">
        <v>622</v>
      </c>
      <c r="E19" s="2" t="s">
        <v>621</v>
      </c>
      <c r="I19" s="2" t="s">
        <v>608</v>
      </c>
      <c r="J19" s="2" t="s">
        <v>623</v>
      </c>
      <c r="K19" s="2" t="s">
        <v>624</v>
      </c>
      <c r="L19" s="2" t="b">
        <v>0</v>
      </c>
      <c r="M19" s="2" t="s">
        <v>661</v>
      </c>
      <c r="N19" s="2" t="s">
        <v>686</v>
      </c>
      <c r="O19" s="2" t="s">
        <v>627</v>
      </c>
      <c r="Q19" s="2">
        <v>244.47006225585938</v>
      </c>
      <c r="R19" s="6">
        <v>6.0732568865740744</v>
      </c>
      <c r="S19" s="5">
        <v>45782.833905659725</v>
      </c>
      <c r="T19" s="5">
        <v>54789.541666666664</v>
      </c>
      <c r="U19" s="2" t="s">
        <v>610</v>
      </c>
      <c r="V19" s="2">
        <v>120</v>
      </c>
      <c r="W19" s="2" t="s">
        <v>628</v>
      </c>
      <c r="X19" s="2" t="s">
        <v>629</v>
      </c>
      <c r="Y19" s="2" t="s">
        <v>687</v>
      </c>
      <c r="AB19" s="2" t="b">
        <v>0</v>
      </c>
      <c r="AC19" s="2" t="s">
        <v>655</v>
      </c>
      <c r="AE19" s="58" t="s">
        <v>632</v>
      </c>
      <c r="AF19" s="2" t="s">
        <v>601</v>
      </c>
      <c r="AG19" s="51" t="s">
        <v>688</v>
      </c>
      <c r="AH19" s="3">
        <v>45975.334272673608</v>
      </c>
      <c r="AI19" s="3">
        <v>45975.862825914352</v>
      </c>
      <c r="AL19" s="3" t="s">
        <v>47</v>
      </c>
      <c r="AS19">
        <v>0</v>
      </c>
      <c r="AT19">
        <v>0</v>
      </c>
      <c r="AX19" t="s">
        <v>618</v>
      </c>
    </row>
    <row r="20" spans="1:50">
      <c r="A20" s="2" t="s">
        <v>689</v>
      </c>
      <c r="B20" s="2" t="s">
        <v>690</v>
      </c>
      <c r="C20" s="2" t="s">
        <v>621</v>
      </c>
      <c r="D20" s="2" t="s">
        <v>622</v>
      </c>
      <c r="E20" s="2" t="s">
        <v>621</v>
      </c>
      <c r="I20" s="2" t="s">
        <v>608</v>
      </c>
      <c r="J20" s="2" t="s">
        <v>623</v>
      </c>
      <c r="K20" s="2" t="s">
        <v>624</v>
      </c>
      <c r="L20" s="2" t="b">
        <v>0</v>
      </c>
      <c r="M20" s="2" t="s">
        <v>691</v>
      </c>
      <c r="N20" s="2" t="s">
        <v>692</v>
      </c>
      <c r="O20" s="2" t="s">
        <v>627</v>
      </c>
      <c r="Q20" s="2">
        <v>549.59197998046875</v>
      </c>
      <c r="R20" s="6">
        <v>88.830679386574076</v>
      </c>
      <c r="S20" s="5">
        <v>45782.834860648145</v>
      </c>
      <c r="T20" s="5">
        <v>54789.541666666664</v>
      </c>
      <c r="U20" s="2" t="s">
        <v>610</v>
      </c>
      <c r="V20" s="2">
        <v>120</v>
      </c>
      <c r="W20" s="2" t="s">
        <v>628</v>
      </c>
      <c r="X20" s="2" t="s">
        <v>629</v>
      </c>
      <c r="Y20" s="2" t="s">
        <v>693</v>
      </c>
      <c r="AB20" s="2" t="b">
        <v>0</v>
      </c>
      <c r="AC20" s="2" t="s">
        <v>655</v>
      </c>
      <c r="AE20" s="58" t="s">
        <v>632</v>
      </c>
      <c r="AF20" s="2" t="s">
        <v>601</v>
      </c>
      <c r="AG20" s="51" t="s">
        <v>688</v>
      </c>
      <c r="AH20" s="3">
        <v>45974.572363425927</v>
      </c>
      <c r="AI20" s="3">
        <v>45975.855986111113</v>
      </c>
      <c r="AL20" s="3" t="s">
        <v>47</v>
      </c>
      <c r="AS20">
        <v>0</v>
      </c>
      <c r="AT20">
        <v>0</v>
      </c>
      <c r="AX20" t="s">
        <v>618</v>
      </c>
    </row>
    <row r="21" spans="1:50">
      <c r="A21" s="2" t="s">
        <v>694</v>
      </c>
      <c r="B21" s="2" t="s">
        <v>695</v>
      </c>
      <c r="C21" s="2" t="s">
        <v>696</v>
      </c>
      <c r="D21" s="2" t="s">
        <v>697</v>
      </c>
      <c r="E21" s="2" t="s">
        <v>696</v>
      </c>
      <c r="I21" s="2" t="s">
        <v>608</v>
      </c>
      <c r="L21" s="2" t="b">
        <v>0</v>
      </c>
      <c r="Q21" s="2">
        <v>0</v>
      </c>
      <c r="R21" s="6">
        <v>0</v>
      </c>
      <c r="S21" s="5">
        <v>45929.441634479168</v>
      </c>
      <c r="T21" s="5">
        <v>54789.541666666664</v>
      </c>
      <c r="U21" s="2" t="s">
        <v>638</v>
      </c>
      <c r="V21" s="2">
        <v>-1</v>
      </c>
      <c r="AB21" s="2" t="b">
        <v>0</v>
      </c>
      <c r="AC21" s="2" t="s">
        <v>639</v>
      </c>
      <c r="AF21" s="2" t="s">
        <v>615</v>
      </c>
      <c r="AG21" s="51" t="s">
        <v>698</v>
      </c>
      <c r="AS21">
        <v>0</v>
      </c>
      <c r="AT21">
        <v>0</v>
      </c>
      <c r="AX21" t="s">
        <v>618</v>
      </c>
    </row>
    <row r="22" spans="1:50">
      <c r="A22" s="2" t="s">
        <v>699</v>
      </c>
      <c r="B22" s="2" t="s">
        <v>700</v>
      </c>
      <c r="C22" s="2" t="s">
        <v>621</v>
      </c>
      <c r="D22" s="2" t="s">
        <v>622</v>
      </c>
      <c r="E22" s="2" t="s">
        <v>621</v>
      </c>
      <c r="F22" s="2" t="s">
        <v>701</v>
      </c>
      <c r="G22" s="2" t="s">
        <v>702</v>
      </c>
      <c r="H22" s="2" t="s">
        <v>703</v>
      </c>
      <c r="I22" s="2" t="s">
        <v>608</v>
      </c>
      <c r="J22" s="2" t="s">
        <v>623</v>
      </c>
      <c r="K22" s="2" t="s">
        <v>624</v>
      </c>
      <c r="L22" s="2" t="b">
        <v>0</v>
      </c>
      <c r="M22" s="2" t="s">
        <v>704</v>
      </c>
      <c r="N22" s="2" t="s">
        <v>705</v>
      </c>
      <c r="O22" s="2" t="s">
        <v>627</v>
      </c>
      <c r="Q22" s="2">
        <v>132.82075500488281</v>
      </c>
      <c r="R22" s="6">
        <v>208.99307929398148</v>
      </c>
      <c r="S22" s="5">
        <v>45782.835071979163</v>
      </c>
      <c r="T22" s="5">
        <v>54789.541666666664</v>
      </c>
      <c r="U22" s="2" t="s">
        <v>610</v>
      </c>
      <c r="V22" s="2">
        <v>120</v>
      </c>
      <c r="W22" s="2" t="s">
        <v>628</v>
      </c>
      <c r="X22" s="2" t="s">
        <v>629</v>
      </c>
      <c r="Y22" s="2" t="s">
        <v>706</v>
      </c>
      <c r="AB22" s="2" t="b">
        <v>0</v>
      </c>
      <c r="AC22" s="2" t="s">
        <v>655</v>
      </c>
      <c r="AE22" s="58" t="s">
        <v>632</v>
      </c>
      <c r="AF22" s="2" t="s">
        <v>601</v>
      </c>
      <c r="AG22" s="51" t="s">
        <v>707</v>
      </c>
      <c r="AH22" s="3">
        <v>45972.513551354168</v>
      </c>
      <c r="AI22" s="3">
        <v>45975.517023576387</v>
      </c>
      <c r="AL22" s="3" t="s">
        <v>47</v>
      </c>
      <c r="AS22">
        <v>0</v>
      </c>
      <c r="AT22">
        <v>0</v>
      </c>
      <c r="AX22" t="s">
        <v>618</v>
      </c>
    </row>
    <row r="23" spans="1:50">
      <c r="A23" s="2" t="s">
        <v>708</v>
      </c>
      <c r="B23" s="2" t="s">
        <v>709</v>
      </c>
      <c r="C23" s="2" t="s">
        <v>672</v>
      </c>
      <c r="D23" s="2" t="s">
        <v>673</v>
      </c>
      <c r="E23" s="2" t="s">
        <v>674</v>
      </c>
      <c r="I23" s="2" t="s">
        <v>608</v>
      </c>
      <c r="J23" s="2" t="s">
        <v>623</v>
      </c>
      <c r="K23" s="2" t="s">
        <v>624</v>
      </c>
      <c r="L23" s="2" t="b">
        <v>0</v>
      </c>
      <c r="M23" s="2" t="s">
        <v>661</v>
      </c>
      <c r="N23" s="2" t="s">
        <v>710</v>
      </c>
      <c r="O23" s="2" t="s">
        <v>627</v>
      </c>
      <c r="Q23" s="2">
        <v>307.37078857421875</v>
      </c>
      <c r="R23" s="6">
        <v>271.12686271990742</v>
      </c>
      <c r="S23" s="5">
        <v>45782.835319571757</v>
      </c>
      <c r="T23" s="5">
        <v>54789.541666666664</v>
      </c>
      <c r="U23" s="2" t="s">
        <v>610</v>
      </c>
      <c r="V23" s="2">
        <v>120</v>
      </c>
      <c r="W23" s="2" t="s">
        <v>628</v>
      </c>
      <c r="X23" s="2" t="s">
        <v>629</v>
      </c>
      <c r="Y23" s="2" t="s">
        <v>711</v>
      </c>
      <c r="AB23" s="2" t="b">
        <v>0</v>
      </c>
      <c r="AC23" s="2" t="s">
        <v>655</v>
      </c>
      <c r="AE23" s="58" t="s">
        <v>632</v>
      </c>
      <c r="AF23" s="2" t="s">
        <v>601</v>
      </c>
      <c r="AG23" s="51" t="s">
        <v>712</v>
      </c>
      <c r="AH23" s="3">
        <v>45975.629239247683</v>
      </c>
      <c r="AI23" s="3">
        <v>45975.86021146991</v>
      </c>
      <c r="AL23" s="3" t="s">
        <v>47</v>
      </c>
      <c r="AS23">
        <v>0</v>
      </c>
      <c r="AT23">
        <v>0</v>
      </c>
      <c r="AX23" t="s">
        <v>618</v>
      </c>
    </row>
    <row r="24" spans="1:50">
      <c r="A24" s="2" t="s">
        <v>713</v>
      </c>
      <c r="B24" s="2" t="s">
        <v>714</v>
      </c>
      <c r="C24" s="2" t="s">
        <v>621</v>
      </c>
      <c r="D24" s="2" t="s">
        <v>622</v>
      </c>
      <c r="E24" s="2" t="s">
        <v>621</v>
      </c>
      <c r="I24" s="2" t="s">
        <v>608</v>
      </c>
      <c r="J24" s="2" t="s">
        <v>623</v>
      </c>
      <c r="K24" s="2" t="s">
        <v>624</v>
      </c>
      <c r="L24" s="2" t="b">
        <v>0</v>
      </c>
      <c r="M24" s="2" t="s">
        <v>715</v>
      </c>
      <c r="N24" s="2" t="s">
        <v>716</v>
      </c>
      <c r="O24" s="2" t="s">
        <v>627</v>
      </c>
      <c r="Q24" s="2">
        <v>353.31463623046875</v>
      </c>
      <c r="R24" s="6">
        <v>189.65722002314814</v>
      </c>
      <c r="S24" s="5">
        <v>45782.835540462962</v>
      </c>
      <c r="T24" s="5">
        <v>54789.541666666664</v>
      </c>
      <c r="U24" s="2" t="s">
        <v>610</v>
      </c>
      <c r="V24" s="2">
        <v>120</v>
      </c>
      <c r="W24" s="2" t="s">
        <v>628</v>
      </c>
      <c r="X24" s="2" t="s">
        <v>629</v>
      </c>
      <c r="Y24" s="2" t="s">
        <v>717</v>
      </c>
      <c r="AB24" s="2" t="b">
        <v>0</v>
      </c>
      <c r="AC24" s="2" t="s">
        <v>655</v>
      </c>
      <c r="AE24" s="58" t="s">
        <v>632</v>
      </c>
      <c r="AF24" s="2" t="s">
        <v>601</v>
      </c>
      <c r="AG24" s="51" t="s">
        <v>718</v>
      </c>
      <c r="AH24" s="3">
        <v>45975.645733518519</v>
      </c>
      <c r="AI24" s="3">
        <v>45975.855258981479</v>
      </c>
      <c r="AL24" s="3" t="s">
        <v>47</v>
      </c>
      <c r="AS24">
        <v>0</v>
      </c>
      <c r="AT24">
        <v>0</v>
      </c>
      <c r="AX24" t="s">
        <v>618</v>
      </c>
    </row>
    <row r="25" spans="1:50">
      <c r="A25" s="2" t="s">
        <v>719</v>
      </c>
      <c r="B25" s="2" t="s">
        <v>720</v>
      </c>
      <c r="C25" s="2" t="s">
        <v>621</v>
      </c>
      <c r="D25" s="2" t="s">
        <v>622</v>
      </c>
      <c r="E25" s="2" t="s">
        <v>621</v>
      </c>
      <c r="I25" s="2" t="s">
        <v>608</v>
      </c>
      <c r="J25" s="2" t="s">
        <v>623</v>
      </c>
      <c r="K25" s="2" t="s">
        <v>624</v>
      </c>
      <c r="L25" s="2" t="b">
        <v>0</v>
      </c>
      <c r="M25" s="2" t="s">
        <v>721</v>
      </c>
      <c r="N25" s="2" t="s">
        <v>722</v>
      </c>
      <c r="O25" s="2" t="s">
        <v>627</v>
      </c>
      <c r="Q25" s="2">
        <v>361.92507934570313</v>
      </c>
      <c r="R25" s="6">
        <v>110.25416672453704</v>
      </c>
      <c r="S25" s="5">
        <v>45782.83605273148</v>
      </c>
      <c r="T25" s="5">
        <v>54789.541666666664</v>
      </c>
      <c r="U25" s="2" t="s">
        <v>610</v>
      </c>
      <c r="V25" s="2">
        <v>120</v>
      </c>
      <c r="W25" s="2" t="s">
        <v>628</v>
      </c>
      <c r="X25" s="2" t="s">
        <v>629</v>
      </c>
      <c r="Y25" s="2" t="s">
        <v>723</v>
      </c>
      <c r="AB25" s="2" t="b">
        <v>0</v>
      </c>
      <c r="AC25" s="2" t="s">
        <v>655</v>
      </c>
      <c r="AE25" s="2" t="s">
        <v>664</v>
      </c>
      <c r="AF25" s="2" t="s">
        <v>601</v>
      </c>
      <c r="AG25" s="51" t="s">
        <v>724</v>
      </c>
      <c r="AH25" s="3">
        <v>45975.462913796298</v>
      </c>
      <c r="AI25" s="3">
        <v>45975.859904537036</v>
      </c>
      <c r="AL25" s="3" t="s">
        <v>47</v>
      </c>
      <c r="AS25">
        <v>0</v>
      </c>
      <c r="AT25">
        <v>0</v>
      </c>
      <c r="AX25" t="s">
        <v>618</v>
      </c>
    </row>
    <row r="26" spans="1:50">
      <c r="A26" s="2" t="s">
        <v>725</v>
      </c>
      <c r="B26" s="2" t="s">
        <v>726</v>
      </c>
      <c r="C26" s="2" t="s">
        <v>672</v>
      </c>
      <c r="D26" s="2" t="s">
        <v>673</v>
      </c>
      <c r="E26" s="2" t="s">
        <v>674</v>
      </c>
      <c r="I26" s="2" t="s">
        <v>608</v>
      </c>
      <c r="J26" s="2" t="s">
        <v>623</v>
      </c>
      <c r="K26" s="2" t="s">
        <v>624</v>
      </c>
      <c r="L26" s="2" t="b">
        <v>0</v>
      </c>
      <c r="M26" s="2" t="s">
        <v>675</v>
      </c>
      <c r="N26" s="2" t="s">
        <v>727</v>
      </c>
      <c r="O26" s="2" t="s">
        <v>627</v>
      </c>
      <c r="Q26" s="2">
        <v>218.27239990234375</v>
      </c>
      <c r="R26" s="6">
        <v>189.65397986111111</v>
      </c>
      <c r="S26" s="5">
        <v>45782.836473668984</v>
      </c>
      <c r="T26" s="5">
        <v>54789.541666666664</v>
      </c>
      <c r="U26" s="2" t="s">
        <v>610</v>
      </c>
      <c r="V26" s="2">
        <v>120</v>
      </c>
      <c r="W26" s="2" t="s">
        <v>628</v>
      </c>
      <c r="X26" s="2" t="s">
        <v>629</v>
      </c>
      <c r="Y26" s="2" t="s">
        <v>728</v>
      </c>
      <c r="AB26" s="2" t="b">
        <v>0</v>
      </c>
      <c r="AC26" s="2" t="s">
        <v>655</v>
      </c>
      <c r="AE26" s="58" t="s">
        <v>632</v>
      </c>
      <c r="AF26" s="2" t="s">
        <v>601</v>
      </c>
      <c r="AG26" s="51" t="s">
        <v>729</v>
      </c>
      <c r="AH26" s="3">
        <v>45973.330418865742</v>
      </c>
      <c r="AI26" s="3">
        <v>45975.853127199072</v>
      </c>
      <c r="AL26" s="3" t="s">
        <v>47</v>
      </c>
      <c r="AS26">
        <v>0</v>
      </c>
      <c r="AT26">
        <v>0</v>
      </c>
      <c r="AX26" t="s">
        <v>618</v>
      </c>
    </row>
    <row r="27" spans="1:50">
      <c r="A27" s="2" t="s">
        <v>730</v>
      </c>
      <c r="B27" s="2" t="s">
        <v>731</v>
      </c>
      <c r="C27" s="2" t="s">
        <v>672</v>
      </c>
      <c r="D27" s="2" t="s">
        <v>673</v>
      </c>
      <c r="E27" s="2" t="s">
        <v>674</v>
      </c>
      <c r="I27" s="2" t="s">
        <v>608</v>
      </c>
      <c r="J27" s="2" t="s">
        <v>623</v>
      </c>
      <c r="K27" s="2" t="s">
        <v>624</v>
      </c>
      <c r="L27" s="2" t="b">
        <v>0</v>
      </c>
      <c r="M27" s="2" t="s">
        <v>661</v>
      </c>
      <c r="N27" s="2" t="s">
        <v>732</v>
      </c>
      <c r="O27" s="2" t="s">
        <v>627</v>
      </c>
      <c r="Q27" s="2">
        <v>201.37394714355469</v>
      </c>
      <c r="R27" s="6">
        <v>103.13083177083334</v>
      </c>
      <c r="S27" s="5">
        <v>45782.837081898149</v>
      </c>
      <c r="T27" s="5">
        <v>54789.541666666664</v>
      </c>
      <c r="U27" s="2" t="s">
        <v>610</v>
      </c>
      <c r="V27" s="2">
        <v>120</v>
      </c>
      <c r="W27" s="2" t="s">
        <v>628</v>
      </c>
      <c r="X27" s="2" t="s">
        <v>629</v>
      </c>
      <c r="Y27" s="2" t="s">
        <v>733</v>
      </c>
      <c r="AB27" s="2" t="b">
        <v>0</v>
      </c>
      <c r="AC27" s="2" t="s">
        <v>655</v>
      </c>
      <c r="AE27" s="58" t="s">
        <v>632</v>
      </c>
      <c r="AF27" s="2" t="s">
        <v>601</v>
      </c>
      <c r="AG27" s="51" t="s">
        <v>734</v>
      </c>
      <c r="AH27" s="3">
        <v>45974.654758784724</v>
      </c>
      <c r="AI27" s="3">
        <v>45975.843705543979</v>
      </c>
      <c r="AL27" s="3" t="s">
        <v>47</v>
      </c>
      <c r="AS27">
        <v>0</v>
      </c>
      <c r="AT27">
        <v>0</v>
      </c>
      <c r="AX27" t="s">
        <v>618</v>
      </c>
    </row>
    <row r="28" spans="1:50">
      <c r="A28" s="2" t="s">
        <v>735</v>
      </c>
      <c r="B28" s="2" t="s">
        <v>736</v>
      </c>
      <c r="C28" s="2" t="s">
        <v>621</v>
      </c>
      <c r="D28" s="2" t="s">
        <v>622</v>
      </c>
      <c r="E28" s="2" t="s">
        <v>621</v>
      </c>
      <c r="I28" s="2" t="s">
        <v>608</v>
      </c>
      <c r="J28" s="2" t="s">
        <v>623</v>
      </c>
      <c r="K28" s="2" t="s">
        <v>624</v>
      </c>
      <c r="L28" s="2" t="b">
        <v>0</v>
      </c>
      <c r="M28" s="2" t="s">
        <v>625</v>
      </c>
      <c r="N28" s="2" t="s">
        <v>737</v>
      </c>
      <c r="O28" s="2" t="s">
        <v>627</v>
      </c>
      <c r="Q28" s="2">
        <v>10.799478530883789</v>
      </c>
      <c r="R28" s="6">
        <v>52.547707650462961</v>
      </c>
      <c r="S28" s="5">
        <v>45782.838778043981</v>
      </c>
      <c r="T28" s="5">
        <v>54789.541666666664</v>
      </c>
      <c r="U28" s="2" t="s">
        <v>610</v>
      </c>
      <c r="V28" s="2">
        <v>120</v>
      </c>
      <c r="W28" s="2" t="s">
        <v>628</v>
      </c>
      <c r="X28" s="2" t="s">
        <v>629</v>
      </c>
      <c r="Y28" s="2" t="s">
        <v>738</v>
      </c>
      <c r="AB28" s="2" t="b">
        <v>0</v>
      </c>
      <c r="AC28" s="2" t="s">
        <v>655</v>
      </c>
      <c r="AE28" s="2" t="s">
        <v>614</v>
      </c>
      <c r="AF28" s="2" t="s">
        <v>601</v>
      </c>
      <c r="AG28" s="51" t="s">
        <v>739</v>
      </c>
      <c r="AH28" s="3">
        <v>45974.632743310183</v>
      </c>
      <c r="AI28" s="3">
        <v>45975.500069699076</v>
      </c>
      <c r="AL28" s="3" t="s">
        <v>47</v>
      </c>
      <c r="AS28">
        <v>0</v>
      </c>
      <c r="AT28">
        <v>0</v>
      </c>
      <c r="AX28" t="s">
        <v>618</v>
      </c>
    </row>
    <row r="29" spans="1:50">
      <c r="A29" s="2" t="s">
        <v>740</v>
      </c>
      <c r="B29" s="2" t="s">
        <v>741</v>
      </c>
      <c r="C29" s="2" t="s">
        <v>621</v>
      </c>
      <c r="D29" s="2" t="s">
        <v>622</v>
      </c>
      <c r="E29" s="2" t="s">
        <v>621</v>
      </c>
      <c r="F29" s="2" t="s">
        <v>742</v>
      </c>
      <c r="G29" s="2" t="s">
        <v>743</v>
      </c>
      <c r="H29" s="2" t="s">
        <v>744</v>
      </c>
      <c r="I29" s="2" t="s">
        <v>608</v>
      </c>
      <c r="J29" s="2" t="s">
        <v>623</v>
      </c>
      <c r="K29" s="2" t="s">
        <v>624</v>
      </c>
      <c r="L29" s="2" t="b">
        <v>0</v>
      </c>
      <c r="M29" s="2" t="s">
        <v>675</v>
      </c>
      <c r="N29" s="2" t="s">
        <v>745</v>
      </c>
      <c r="O29" s="2" t="s">
        <v>627</v>
      </c>
      <c r="Q29" s="2">
        <v>1909.9971923828125</v>
      </c>
      <c r="R29" s="6">
        <v>90.6</v>
      </c>
      <c r="S29" s="5">
        <v>45782.839315648147</v>
      </c>
      <c r="T29" s="5">
        <v>54789.541666666664</v>
      </c>
      <c r="U29" s="2" t="s">
        <v>610</v>
      </c>
      <c r="V29" s="2">
        <v>120</v>
      </c>
      <c r="W29" s="2" t="s">
        <v>628</v>
      </c>
      <c r="X29" s="2" t="s">
        <v>629</v>
      </c>
      <c r="Y29" s="2" t="s">
        <v>746</v>
      </c>
      <c r="AB29" s="2" t="b">
        <v>0</v>
      </c>
      <c r="AC29" s="2" t="s">
        <v>655</v>
      </c>
      <c r="AE29" s="2" t="s">
        <v>664</v>
      </c>
      <c r="AF29" s="2" t="s">
        <v>601</v>
      </c>
      <c r="AG29" s="51" t="s">
        <v>747</v>
      </c>
      <c r="AH29" s="3">
        <v>45975.642728344908</v>
      </c>
      <c r="AI29" s="3">
        <v>45975.857554733797</v>
      </c>
      <c r="AL29" s="3" t="s">
        <v>47</v>
      </c>
      <c r="AS29">
        <v>0</v>
      </c>
      <c r="AT29">
        <v>0</v>
      </c>
      <c r="AX29" t="s">
        <v>618</v>
      </c>
    </row>
    <row r="30" spans="1:50">
      <c r="A30" s="2" t="s">
        <v>748</v>
      </c>
      <c r="B30" s="2" t="s">
        <v>749</v>
      </c>
      <c r="C30" s="2" t="s">
        <v>621</v>
      </c>
      <c r="D30" s="2" t="s">
        <v>622</v>
      </c>
      <c r="E30" s="2" t="s">
        <v>621</v>
      </c>
      <c r="F30" s="2" t="s">
        <v>750</v>
      </c>
      <c r="G30" s="2" t="s">
        <v>751</v>
      </c>
      <c r="H30" s="2" t="s">
        <v>752</v>
      </c>
      <c r="I30" s="2" t="s">
        <v>608</v>
      </c>
      <c r="J30" s="2" t="s">
        <v>623</v>
      </c>
      <c r="K30" s="2" t="s">
        <v>624</v>
      </c>
      <c r="L30" s="2" t="b">
        <v>0</v>
      </c>
      <c r="M30" s="2" t="s">
        <v>675</v>
      </c>
      <c r="N30" s="2" t="s">
        <v>676</v>
      </c>
      <c r="O30" s="2" t="s">
        <v>627</v>
      </c>
      <c r="Q30" s="2">
        <v>584.02374267578125</v>
      </c>
      <c r="R30" s="6">
        <v>61.608333819444447</v>
      </c>
      <c r="S30" s="5">
        <v>45842.406734050928</v>
      </c>
      <c r="T30" s="5">
        <v>54789.541666666664</v>
      </c>
      <c r="U30" s="2" t="s">
        <v>610</v>
      </c>
      <c r="V30" s="2">
        <v>120</v>
      </c>
      <c r="W30" s="2" t="s">
        <v>628</v>
      </c>
      <c r="X30" s="2" t="s">
        <v>629</v>
      </c>
      <c r="Y30" s="2" t="s">
        <v>753</v>
      </c>
      <c r="AB30" s="2" t="b">
        <v>0</v>
      </c>
      <c r="AC30" s="2" t="s">
        <v>655</v>
      </c>
      <c r="AE30" s="2" t="s">
        <v>664</v>
      </c>
      <c r="AF30" s="2" t="s">
        <v>601</v>
      </c>
      <c r="AG30" s="51" t="s">
        <v>747</v>
      </c>
      <c r="AH30" s="3">
        <v>45975.823371365739</v>
      </c>
      <c r="AI30" s="3">
        <v>45975.845408402776</v>
      </c>
      <c r="AL30" s="3" t="s">
        <v>47</v>
      </c>
      <c r="AS30">
        <v>0</v>
      </c>
      <c r="AT30">
        <v>0</v>
      </c>
      <c r="AX30" t="s">
        <v>618</v>
      </c>
    </row>
    <row r="31" spans="1:50">
      <c r="A31" s="2" t="s">
        <v>754</v>
      </c>
      <c r="B31" s="2" t="s">
        <v>755</v>
      </c>
      <c r="C31" s="2" t="s">
        <v>621</v>
      </c>
      <c r="D31" s="2" t="s">
        <v>622</v>
      </c>
      <c r="E31" s="2" t="s">
        <v>621</v>
      </c>
      <c r="I31" s="2" t="s">
        <v>608</v>
      </c>
      <c r="J31" s="2" t="s">
        <v>623</v>
      </c>
      <c r="K31" s="2" t="s">
        <v>624</v>
      </c>
      <c r="L31" s="2" t="b">
        <v>0</v>
      </c>
      <c r="M31" s="2" t="s">
        <v>715</v>
      </c>
      <c r="N31" s="2" t="s">
        <v>756</v>
      </c>
      <c r="O31" s="2" t="s">
        <v>627</v>
      </c>
      <c r="Q31" s="2">
        <v>439.5015869140625</v>
      </c>
      <c r="R31" s="6">
        <v>57.830749733796296</v>
      </c>
      <c r="S31" s="5">
        <v>45782.833584560183</v>
      </c>
      <c r="T31" s="5">
        <v>54789.541666666664</v>
      </c>
      <c r="U31" s="2" t="s">
        <v>610</v>
      </c>
      <c r="V31" s="2">
        <v>120</v>
      </c>
      <c r="W31" s="2" t="s">
        <v>628</v>
      </c>
      <c r="X31" s="2" t="s">
        <v>629</v>
      </c>
      <c r="Y31" s="2" t="s">
        <v>757</v>
      </c>
      <c r="AB31" s="2" t="b">
        <v>0</v>
      </c>
      <c r="AC31" s="2" t="s">
        <v>655</v>
      </c>
      <c r="AE31" s="58" t="s">
        <v>632</v>
      </c>
      <c r="AF31" s="2" t="s">
        <v>601</v>
      </c>
      <c r="AG31" s="51" t="s">
        <v>739</v>
      </c>
      <c r="AH31" s="3">
        <v>45974.483289398151</v>
      </c>
      <c r="AI31" s="3">
        <v>45975.860708379631</v>
      </c>
      <c r="AL31" s="3" t="s">
        <v>47</v>
      </c>
      <c r="AS31">
        <v>0</v>
      </c>
      <c r="AT31">
        <v>0</v>
      </c>
      <c r="AX31" t="s">
        <v>618</v>
      </c>
    </row>
    <row r="32" spans="1:50">
      <c r="A32" s="2" t="s">
        <v>758</v>
      </c>
      <c r="B32" s="2" t="s">
        <v>759</v>
      </c>
      <c r="C32" s="2" t="s">
        <v>621</v>
      </c>
      <c r="D32" s="2" t="s">
        <v>760</v>
      </c>
      <c r="E32" s="2" t="s">
        <v>621</v>
      </c>
      <c r="I32" s="2" t="s">
        <v>608</v>
      </c>
      <c r="J32" s="2" t="s">
        <v>623</v>
      </c>
      <c r="K32" s="2" t="s">
        <v>624</v>
      </c>
      <c r="L32" s="2" t="b">
        <v>0</v>
      </c>
      <c r="M32" s="2" t="s">
        <v>761</v>
      </c>
      <c r="N32" s="2" t="s">
        <v>762</v>
      </c>
      <c r="O32" s="2" t="s">
        <v>763</v>
      </c>
      <c r="Q32" s="2">
        <v>494.29266357421875</v>
      </c>
      <c r="R32" s="6">
        <v>518.81554966435181</v>
      </c>
      <c r="S32" s="5">
        <v>45782.841357546298</v>
      </c>
      <c r="T32" s="5">
        <v>54789.541666666664</v>
      </c>
      <c r="U32" s="2" t="s">
        <v>610</v>
      </c>
      <c r="V32" s="2">
        <v>120</v>
      </c>
      <c r="W32" s="2" t="s">
        <v>764</v>
      </c>
      <c r="X32" s="2" t="s">
        <v>765</v>
      </c>
      <c r="Y32" s="2" t="s">
        <v>766</v>
      </c>
      <c r="AB32" s="2" t="b">
        <v>0</v>
      </c>
      <c r="AC32" s="2" t="s">
        <v>655</v>
      </c>
      <c r="AE32" s="58" t="s">
        <v>632</v>
      </c>
      <c r="AF32" s="2" t="s">
        <v>601</v>
      </c>
      <c r="AG32" s="51" t="s">
        <v>767</v>
      </c>
      <c r="AH32" s="3">
        <v>45968.54440298611</v>
      </c>
      <c r="AI32" s="3">
        <v>45968.544588171295</v>
      </c>
      <c r="AL32" s="3" t="s">
        <v>768</v>
      </c>
      <c r="AS32">
        <v>0</v>
      </c>
      <c r="AT32">
        <v>0</v>
      </c>
      <c r="AX32" t="s">
        <v>618</v>
      </c>
    </row>
    <row r="33" spans="1:50">
      <c r="A33" s="2" t="s">
        <v>769</v>
      </c>
      <c r="B33" s="2" t="s">
        <v>770</v>
      </c>
      <c r="C33" s="2" t="s">
        <v>771</v>
      </c>
      <c r="D33" s="2" t="s">
        <v>772</v>
      </c>
      <c r="E33" s="2" t="s">
        <v>773</v>
      </c>
      <c r="I33" s="2" t="s">
        <v>608</v>
      </c>
      <c r="J33" s="2" t="s">
        <v>623</v>
      </c>
      <c r="K33" s="2" t="s">
        <v>624</v>
      </c>
      <c r="L33" s="2" t="b">
        <v>0</v>
      </c>
      <c r="M33" s="2" t="s">
        <v>774</v>
      </c>
      <c r="N33" s="2" t="s">
        <v>775</v>
      </c>
      <c r="O33" s="2" t="s">
        <v>627</v>
      </c>
      <c r="Q33" s="2">
        <v>11.266311645507813</v>
      </c>
      <c r="R33" s="6">
        <v>7.1712034375</v>
      </c>
      <c r="S33" s="5">
        <v>45724.472683888889</v>
      </c>
      <c r="T33" s="5">
        <v>54789.541666666664</v>
      </c>
      <c r="U33" s="2" t="s">
        <v>610</v>
      </c>
      <c r="V33" s="2">
        <v>120</v>
      </c>
      <c r="W33" s="2" t="s">
        <v>628</v>
      </c>
      <c r="X33" s="2" t="s">
        <v>776</v>
      </c>
      <c r="Y33" s="2" t="s">
        <v>777</v>
      </c>
      <c r="AB33" s="2" t="b">
        <v>0</v>
      </c>
      <c r="AC33" s="2" t="s">
        <v>655</v>
      </c>
      <c r="AE33" s="2" t="s">
        <v>614</v>
      </c>
      <c r="AF33" s="2" t="s">
        <v>601</v>
      </c>
      <c r="AG33" s="51" t="s">
        <v>778</v>
      </c>
      <c r="AH33" s="3">
        <v>45919.361797743055</v>
      </c>
      <c r="AI33" s="3">
        <v>45955.788811631945</v>
      </c>
      <c r="AL33" s="3" t="s">
        <v>768</v>
      </c>
      <c r="AS33">
        <v>0</v>
      </c>
      <c r="AT33">
        <v>0</v>
      </c>
      <c r="AX33" t="s">
        <v>618</v>
      </c>
    </row>
    <row r="34" spans="1:50">
      <c r="A34" s="2" t="s">
        <v>779</v>
      </c>
      <c r="B34" s="2" t="s">
        <v>780</v>
      </c>
      <c r="C34" s="2" t="s">
        <v>781</v>
      </c>
      <c r="D34" s="2" t="s">
        <v>782</v>
      </c>
      <c r="E34" s="2" t="s">
        <v>781</v>
      </c>
      <c r="F34" s="2" t="s">
        <v>783</v>
      </c>
      <c r="G34" s="2" t="s">
        <v>784</v>
      </c>
      <c r="H34" s="2" t="s">
        <v>785</v>
      </c>
      <c r="I34" s="2" t="s">
        <v>608</v>
      </c>
      <c r="J34" s="2" t="s">
        <v>623</v>
      </c>
      <c r="K34" s="2" t="s">
        <v>624</v>
      </c>
      <c r="L34" s="2" t="b">
        <v>0</v>
      </c>
      <c r="M34" s="2" t="s">
        <v>721</v>
      </c>
      <c r="N34" s="2" t="s">
        <v>786</v>
      </c>
      <c r="O34" s="2" t="s">
        <v>627</v>
      </c>
      <c r="Q34" s="2">
        <v>1218.7342529296875</v>
      </c>
      <c r="R34" s="6">
        <v>339.09583333333336</v>
      </c>
      <c r="S34" s="5">
        <v>45826.451902974535</v>
      </c>
      <c r="T34" s="5">
        <v>54789.541666666664</v>
      </c>
      <c r="U34" s="2" t="s">
        <v>610</v>
      </c>
      <c r="V34" s="2">
        <v>120</v>
      </c>
      <c r="W34" s="2" t="s">
        <v>628</v>
      </c>
      <c r="X34" s="2" t="s">
        <v>629</v>
      </c>
      <c r="Y34" s="2" t="s">
        <v>787</v>
      </c>
      <c r="Z34" s="2" t="s">
        <v>788</v>
      </c>
      <c r="AB34" s="2" t="b">
        <v>0</v>
      </c>
      <c r="AC34" s="2" t="s">
        <v>655</v>
      </c>
      <c r="AE34" s="2" t="s">
        <v>789</v>
      </c>
      <c r="AF34" s="2" t="s">
        <v>601</v>
      </c>
      <c r="AG34" s="51" t="s">
        <v>790</v>
      </c>
      <c r="AH34" s="3">
        <v>45975.646483379627</v>
      </c>
      <c r="AI34" s="3">
        <v>45975.856159305557</v>
      </c>
      <c r="AL34" s="3" t="s">
        <v>47</v>
      </c>
      <c r="AS34">
        <v>0</v>
      </c>
      <c r="AT34">
        <v>-979200</v>
      </c>
      <c r="AX34" t="s">
        <v>618</v>
      </c>
    </row>
    <row r="35" spans="1:50">
      <c r="A35" s="2" t="s">
        <v>791</v>
      </c>
      <c r="B35" s="2" t="s">
        <v>792</v>
      </c>
      <c r="C35" s="2" t="s">
        <v>793</v>
      </c>
      <c r="D35" s="2" t="s">
        <v>794</v>
      </c>
      <c r="E35" s="2" t="s">
        <v>793</v>
      </c>
      <c r="F35" s="2" t="s">
        <v>795</v>
      </c>
      <c r="G35" s="2" t="s">
        <v>796</v>
      </c>
      <c r="H35" s="2" t="s">
        <v>797</v>
      </c>
      <c r="I35" s="2" t="s">
        <v>608</v>
      </c>
      <c r="J35" s="2" t="s">
        <v>623</v>
      </c>
      <c r="K35" s="2" t="s">
        <v>624</v>
      </c>
      <c r="L35" s="2" t="b">
        <v>0</v>
      </c>
      <c r="M35" s="2" t="s">
        <v>798</v>
      </c>
      <c r="N35" s="2" t="s">
        <v>799</v>
      </c>
      <c r="O35" s="2" t="s">
        <v>627</v>
      </c>
      <c r="Q35" s="2">
        <v>33.721221923828125</v>
      </c>
      <c r="R35" s="6">
        <v>140.67288752314815</v>
      </c>
      <c r="S35" s="5">
        <v>45782.842076712965</v>
      </c>
      <c r="T35" s="5">
        <v>54789.541666666664</v>
      </c>
      <c r="U35" s="2" t="s">
        <v>610</v>
      </c>
      <c r="V35" s="2">
        <v>120</v>
      </c>
      <c r="W35" s="2" t="s">
        <v>628</v>
      </c>
      <c r="X35" s="2" t="s">
        <v>629</v>
      </c>
      <c r="Y35" s="2" t="s">
        <v>800</v>
      </c>
      <c r="Z35" s="2" t="s">
        <v>801</v>
      </c>
      <c r="AB35" s="2" t="b">
        <v>0</v>
      </c>
      <c r="AC35" s="2" t="s">
        <v>655</v>
      </c>
      <c r="AE35" s="58" t="s">
        <v>632</v>
      </c>
      <c r="AF35" s="2" t="s">
        <v>601</v>
      </c>
      <c r="AG35" s="51" t="s">
        <v>802</v>
      </c>
      <c r="AH35" s="3">
        <v>45973.311922743058</v>
      </c>
      <c r="AI35" s="3">
        <v>45975.666089409722</v>
      </c>
      <c r="AL35" s="3" t="s">
        <v>47</v>
      </c>
      <c r="AS35">
        <v>0</v>
      </c>
      <c r="AT35">
        <v>0</v>
      </c>
      <c r="AX35" t="s">
        <v>618</v>
      </c>
    </row>
    <row r="36" spans="1:50">
      <c r="A36" s="2" t="s">
        <v>803</v>
      </c>
      <c r="B36" s="2" t="s">
        <v>804</v>
      </c>
      <c r="C36" s="2" t="s">
        <v>793</v>
      </c>
      <c r="D36" s="2" t="s">
        <v>794</v>
      </c>
      <c r="E36" s="2" t="s">
        <v>793</v>
      </c>
      <c r="I36" s="2" t="s">
        <v>608</v>
      </c>
      <c r="J36" s="2" t="s">
        <v>623</v>
      </c>
      <c r="K36" s="2" t="s">
        <v>624</v>
      </c>
      <c r="L36" s="2" t="b">
        <v>0</v>
      </c>
      <c r="M36" s="2" t="s">
        <v>625</v>
      </c>
      <c r="N36" s="2" t="s">
        <v>737</v>
      </c>
      <c r="O36" s="2" t="s">
        <v>627</v>
      </c>
      <c r="Q36" s="2">
        <v>1046.334228515625</v>
      </c>
      <c r="R36" s="6">
        <v>158.27463120370371</v>
      </c>
      <c r="S36" s="5">
        <v>45782.842574618058</v>
      </c>
      <c r="T36" s="5">
        <v>54789.541666666664</v>
      </c>
      <c r="U36" s="2" t="s">
        <v>610</v>
      </c>
      <c r="V36" s="2">
        <v>120</v>
      </c>
      <c r="W36" s="2" t="s">
        <v>628</v>
      </c>
      <c r="X36" s="2" t="s">
        <v>629</v>
      </c>
      <c r="Y36" s="2" t="s">
        <v>805</v>
      </c>
      <c r="Z36" s="2" t="s">
        <v>806</v>
      </c>
      <c r="AB36" s="2" t="b">
        <v>0</v>
      </c>
      <c r="AC36" s="2" t="s">
        <v>655</v>
      </c>
      <c r="AE36" s="58" t="s">
        <v>632</v>
      </c>
      <c r="AF36" s="2" t="s">
        <v>601</v>
      </c>
      <c r="AG36" s="51" t="s">
        <v>807</v>
      </c>
      <c r="AH36" s="3">
        <v>45975.657040486112</v>
      </c>
      <c r="AI36" s="3">
        <v>45975.848186319447</v>
      </c>
      <c r="AL36" s="3" t="s">
        <v>47</v>
      </c>
      <c r="AS36">
        <v>0</v>
      </c>
      <c r="AT36">
        <v>0</v>
      </c>
      <c r="AX36" t="s">
        <v>618</v>
      </c>
    </row>
    <row r="37" spans="1:50">
      <c r="A37" s="2" t="s">
        <v>808</v>
      </c>
      <c r="B37" s="2" t="s">
        <v>809</v>
      </c>
      <c r="C37" s="2" t="s">
        <v>810</v>
      </c>
      <c r="D37" s="2" t="s">
        <v>811</v>
      </c>
      <c r="E37" s="2" t="s">
        <v>810</v>
      </c>
      <c r="I37" s="2" t="s">
        <v>608</v>
      </c>
      <c r="L37" s="2" t="b">
        <v>0</v>
      </c>
      <c r="Q37" s="2">
        <v>0</v>
      </c>
      <c r="R37" s="6">
        <v>205.41666666666666</v>
      </c>
      <c r="S37" s="5">
        <v>45959.562793750003</v>
      </c>
      <c r="T37" s="5">
        <v>54789.541666666664</v>
      </c>
      <c r="U37" s="2" t="s">
        <v>638</v>
      </c>
      <c r="V37" s="2">
        <v>-1</v>
      </c>
      <c r="AB37" s="2" t="b">
        <v>0</v>
      </c>
      <c r="AC37" s="2" t="s">
        <v>639</v>
      </c>
      <c r="AF37" s="2" t="s">
        <v>615</v>
      </c>
      <c r="AG37" s="51" t="s">
        <v>812</v>
      </c>
      <c r="AS37">
        <v>0</v>
      </c>
      <c r="AT37">
        <v>0</v>
      </c>
      <c r="AX37" t="s">
        <v>618</v>
      </c>
    </row>
    <row r="38" spans="1:50">
      <c r="A38" s="2" t="s">
        <v>813</v>
      </c>
      <c r="B38" s="2" t="s">
        <v>814</v>
      </c>
      <c r="C38" s="2" t="s">
        <v>815</v>
      </c>
      <c r="D38" s="2" t="s">
        <v>816</v>
      </c>
      <c r="E38" s="2" t="s">
        <v>815</v>
      </c>
      <c r="I38" s="2" t="s">
        <v>608</v>
      </c>
      <c r="J38" s="2" t="s">
        <v>623</v>
      </c>
      <c r="K38" s="2" t="s">
        <v>624</v>
      </c>
      <c r="L38" s="2" t="b">
        <v>0</v>
      </c>
      <c r="M38" s="2" t="s">
        <v>721</v>
      </c>
      <c r="N38" s="2" t="s">
        <v>817</v>
      </c>
      <c r="O38" s="2" t="s">
        <v>627</v>
      </c>
      <c r="Q38" s="2">
        <v>577.3826904296875</v>
      </c>
      <c r="R38" s="6">
        <v>110.68750001157407</v>
      </c>
      <c r="S38" s="5">
        <v>45782.843141423611</v>
      </c>
      <c r="T38" s="5">
        <v>54789.541666666664</v>
      </c>
      <c r="U38" s="2" t="s">
        <v>610</v>
      </c>
      <c r="V38" s="2">
        <v>120</v>
      </c>
      <c r="W38" s="2" t="s">
        <v>628</v>
      </c>
      <c r="X38" s="2" t="s">
        <v>629</v>
      </c>
      <c r="Y38" s="2" t="s">
        <v>818</v>
      </c>
      <c r="Z38" s="2" t="s">
        <v>819</v>
      </c>
      <c r="AB38" s="2" t="b">
        <v>0</v>
      </c>
      <c r="AC38" s="2" t="s">
        <v>655</v>
      </c>
      <c r="AE38" s="58" t="s">
        <v>632</v>
      </c>
      <c r="AF38" s="2" t="s">
        <v>601</v>
      </c>
      <c r="AG38" s="51" t="s">
        <v>820</v>
      </c>
      <c r="AH38" s="3">
        <v>45975.620366423609</v>
      </c>
      <c r="AI38" s="3">
        <v>45975.850921979167</v>
      </c>
      <c r="AL38" s="3" t="s">
        <v>47</v>
      </c>
      <c r="AS38">
        <v>0</v>
      </c>
      <c r="AT38">
        <v>0</v>
      </c>
      <c r="AX38" t="s">
        <v>618</v>
      </c>
    </row>
    <row r="39" spans="1:50">
      <c r="A39" s="2" t="s">
        <v>821</v>
      </c>
      <c r="B39" s="2" t="s">
        <v>822</v>
      </c>
      <c r="C39" s="2" t="s">
        <v>815</v>
      </c>
      <c r="D39" s="2" t="s">
        <v>816</v>
      </c>
      <c r="E39" s="2" t="s">
        <v>815</v>
      </c>
      <c r="F39" s="2" t="s">
        <v>823</v>
      </c>
      <c r="G39" s="2" t="s">
        <v>824</v>
      </c>
      <c r="H39" s="2" t="s">
        <v>825</v>
      </c>
      <c r="I39" s="2" t="s">
        <v>608</v>
      </c>
      <c r="J39" s="2" t="s">
        <v>623</v>
      </c>
      <c r="K39" s="2" t="s">
        <v>624</v>
      </c>
      <c r="L39" s="2" t="b">
        <v>0</v>
      </c>
      <c r="M39" s="2" t="s">
        <v>625</v>
      </c>
      <c r="N39" s="2" t="s">
        <v>826</v>
      </c>
      <c r="O39" s="2" t="s">
        <v>627</v>
      </c>
      <c r="Q39" s="2">
        <v>1619.086181640625</v>
      </c>
      <c r="R39" s="6">
        <v>118.576609375</v>
      </c>
      <c r="S39" s="5">
        <v>45782.843699131947</v>
      </c>
      <c r="T39" s="5">
        <v>54789.541666666664</v>
      </c>
      <c r="U39" s="2" t="s">
        <v>610</v>
      </c>
      <c r="V39" s="2">
        <v>120</v>
      </c>
      <c r="W39" s="2" t="s">
        <v>628</v>
      </c>
      <c r="X39" s="2" t="s">
        <v>629</v>
      </c>
      <c r="Y39" s="2" t="s">
        <v>827</v>
      </c>
      <c r="Z39" s="2" t="s">
        <v>828</v>
      </c>
      <c r="AB39" s="2" t="b">
        <v>0</v>
      </c>
      <c r="AC39" s="2" t="s">
        <v>655</v>
      </c>
      <c r="AE39" s="58" t="s">
        <v>632</v>
      </c>
      <c r="AF39" s="2" t="s">
        <v>601</v>
      </c>
      <c r="AG39" s="51" t="s">
        <v>829</v>
      </c>
      <c r="AH39" s="3">
        <v>45975.628498055557</v>
      </c>
      <c r="AI39" s="3">
        <v>45975.85882212963</v>
      </c>
      <c r="AL39" s="3" t="s">
        <v>47</v>
      </c>
      <c r="AS39">
        <v>0</v>
      </c>
      <c r="AT39">
        <v>0</v>
      </c>
      <c r="AX39" t="s">
        <v>618</v>
      </c>
    </row>
    <row r="40" spans="1:50">
      <c r="A40" s="2" t="s">
        <v>830</v>
      </c>
      <c r="B40" s="2" t="s">
        <v>831</v>
      </c>
      <c r="C40" s="2" t="s">
        <v>815</v>
      </c>
      <c r="D40" s="2" t="s">
        <v>816</v>
      </c>
      <c r="E40" s="2" t="s">
        <v>815</v>
      </c>
      <c r="I40" s="2" t="s">
        <v>608</v>
      </c>
      <c r="J40" s="2" t="s">
        <v>623</v>
      </c>
      <c r="K40" s="2" t="s">
        <v>624</v>
      </c>
      <c r="L40" s="2" t="b">
        <v>0</v>
      </c>
      <c r="M40" s="2" t="s">
        <v>675</v>
      </c>
      <c r="N40" s="2" t="s">
        <v>745</v>
      </c>
      <c r="O40" s="2" t="s">
        <v>627</v>
      </c>
      <c r="Q40" s="2">
        <v>102.41561126708984</v>
      </c>
      <c r="R40" s="6">
        <v>70.130298726851848</v>
      </c>
      <c r="S40" s="5">
        <v>45861.618698923608</v>
      </c>
      <c r="T40" s="5">
        <v>54789.541666666664</v>
      </c>
      <c r="U40" s="2" t="s">
        <v>610</v>
      </c>
      <c r="V40" s="2">
        <v>120</v>
      </c>
      <c r="W40" s="2" t="s">
        <v>764</v>
      </c>
      <c r="X40" s="2" t="s">
        <v>765</v>
      </c>
      <c r="Y40" s="2" t="s">
        <v>832</v>
      </c>
      <c r="Z40" s="2" t="s">
        <v>833</v>
      </c>
      <c r="AB40" s="2" t="b">
        <v>0</v>
      </c>
      <c r="AC40" s="2" t="s">
        <v>613</v>
      </c>
      <c r="AE40" s="58" t="s">
        <v>632</v>
      </c>
      <c r="AF40" s="2" t="s">
        <v>601</v>
      </c>
      <c r="AG40" s="51" t="s">
        <v>820</v>
      </c>
      <c r="AH40" s="3">
        <v>45974.790695173608</v>
      </c>
      <c r="AI40" s="3">
        <v>45975.856609525465</v>
      </c>
      <c r="AL40" s="3" t="s">
        <v>47</v>
      </c>
      <c r="AS40">
        <v>0</v>
      </c>
      <c r="AT40">
        <v>0</v>
      </c>
      <c r="AX40" t="s">
        <v>618</v>
      </c>
    </row>
    <row r="41" spans="1:50">
      <c r="A41" s="2" t="s">
        <v>834</v>
      </c>
      <c r="B41" s="2" t="s">
        <v>835</v>
      </c>
      <c r="C41" s="2" t="s">
        <v>815</v>
      </c>
      <c r="D41" s="2" t="s">
        <v>816</v>
      </c>
      <c r="E41" s="2" t="s">
        <v>815</v>
      </c>
      <c r="I41" s="2" t="s">
        <v>608</v>
      </c>
      <c r="J41" s="2" t="s">
        <v>623</v>
      </c>
      <c r="K41" s="2" t="s">
        <v>624</v>
      </c>
      <c r="L41" s="2" t="b">
        <v>0</v>
      </c>
      <c r="M41" s="2" t="s">
        <v>661</v>
      </c>
      <c r="N41" s="2" t="s">
        <v>836</v>
      </c>
      <c r="O41" s="2" t="s">
        <v>627</v>
      </c>
      <c r="Q41" s="2">
        <v>525.92376708984375</v>
      </c>
      <c r="R41" s="6">
        <v>58.848648032407411</v>
      </c>
      <c r="S41" s="5">
        <v>45782.8460328125</v>
      </c>
      <c r="T41" s="5">
        <v>54789.541666666664</v>
      </c>
      <c r="U41" s="2" t="s">
        <v>610</v>
      </c>
      <c r="V41" s="2">
        <v>120</v>
      </c>
      <c r="W41" s="2" t="s">
        <v>628</v>
      </c>
      <c r="X41" s="2" t="s">
        <v>629</v>
      </c>
      <c r="Y41" s="2" t="s">
        <v>837</v>
      </c>
      <c r="Z41" s="2" t="s">
        <v>838</v>
      </c>
      <c r="AB41" s="2" t="b">
        <v>0</v>
      </c>
      <c r="AC41" s="2" t="s">
        <v>655</v>
      </c>
      <c r="AE41" s="58" t="s">
        <v>632</v>
      </c>
      <c r="AF41" s="2" t="s">
        <v>601</v>
      </c>
      <c r="AG41" s="51" t="s">
        <v>820</v>
      </c>
      <c r="AH41" s="3">
        <v>45975.635952141201</v>
      </c>
      <c r="AI41" s="3">
        <v>45975.84772297454</v>
      </c>
      <c r="AL41" s="3" t="s">
        <v>47</v>
      </c>
      <c r="AS41">
        <v>0</v>
      </c>
      <c r="AT41">
        <v>0</v>
      </c>
      <c r="AX41" t="s">
        <v>618</v>
      </c>
    </row>
    <row r="42" spans="1:50">
      <c r="A42" s="2" t="s">
        <v>839</v>
      </c>
      <c r="B42" s="2" t="s">
        <v>840</v>
      </c>
      <c r="C42" s="2" t="s">
        <v>841</v>
      </c>
      <c r="D42" s="2" t="s">
        <v>842</v>
      </c>
      <c r="E42" s="2" t="s">
        <v>843</v>
      </c>
      <c r="I42" s="2" t="s">
        <v>608</v>
      </c>
      <c r="J42" s="2" t="s">
        <v>623</v>
      </c>
      <c r="K42" s="2" t="s">
        <v>624</v>
      </c>
      <c r="L42" s="2" t="b">
        <v>0</v>
      </c>
      <c r="M42" s="2" t="s">
        <v>661</v>
      </c>
      <c r="N42" s="2" t="s">
        <v>836</v>
      </c>
      <c r="O42" s="2" t="s">
        <v>627</v>
      </c>
      <c r="Q42" s="2">
        <v>513.3499755859375</v>
      </c>
      <c r="R42" s="6">
        <v>52.487500023148151</v>
      </c>
      <c r="S42" s="5">
        <v>45895.666045648148</v>
      </c>
      <c r="T42" s="5">
        <v>54789.541666666664</v>
      </c>
      <c r="U42" s="2" t="s">
        <v>610</v>
      </c>
      <c r="V42" s="2">
        <v>120</v>
      </c>
      <c r="W42" s="2" t="s">
        <v>628</v>
      </c>
      <c r="X42" s="2" t="s">
        <v>629</v>
      </c>
      <c r="Y42" s="2" t="s">
        <v>844</v>
      </c>
      <c r="AB42" s="2" t="b">
        <v>0</v>
      </c>
      <c r="AC42" s="2" t="s">
        <v>655</v>
      </c>
      <c r="AE42" s="58" t="s">
        <v>632</v>
      </c>
      <c r="AF42" s="2" t="s">
        <v>601</v>
      </c>
      <c r="AG42" s="51" t="s">
        <v>845</v>
      </c>
      <c r="AH42" s="3">
        <v>45973.478295833331</v>
      </c>
      <c r="AI42" s="3">
        <v>45975.636999537041</v>
      </c>
      <c r="AL42" s="3" t="s">
        <v>47</v>
      </c>
      <c r="AS42">
        <v>0</v>
      </c>
      <c r="AT42">
        <v>0</v>
      </c>
      <c r="AX42" t="s">
        <v>618</v>
      </c>
    </row>
    <row r="43" spans="1:50">
      <c r="A43" s="2" t="s">
        <v>846</v>
      </c>
      <c r="B43" s="2" t="s">
        <v>847</v>
      </c>
      <c r="C43" s="2" t="s">
        <v>848</v>
      </c>
      <c r="D43" s="2" t="s">
        <v>849</v>
      </c>
      <c r="E43" s="2" t="s">
        <v>850</v>
      </c>
      <c r="I43" s="2" t="s">
        <v>608</v>
      </c>
      <c r="J43" s="2" t="s">
        <v>623</v>
      </c>
      <c r="K43" s="2" t="s">
        <v>624</v>
      </c>
      <c r="L43" s="2" t="b">
        <v>0</v>
      </c>
      <c r="M43" s="2" t="s">
        <v>704</v>
      </c>
      <c r="N43" s="2" t="s">
        <v>851</v>
      </c>
      <c r="O43" s="2" t="s">
        <v>627</v>
      </c>
      <c r="Q43" s="2">
        <v>171325.34375</v>
      </c>
      <c r="R43" s="6">
        <v>147.15552047453704</v>
      </c>
      <c r="S43" s="5">
        <v>45782.958375636576</v>
      </c>
      <c r="T43" s="5">
        <v>54789.541666666664</v>
      </c>
      <c r="U43" s="2" t="s">
        <v>610</v>
      </c>
      <c r="V43" s="2">
        <v>120</v>
      </c>
      <c r="W43" s="2" t="s">
        <v>628</v>
      </c>
      <c r="X43" s="2" t="s">
        <v>629</v>
      </c>
      <c r="Y43" s="2" t="s">
        <v>852</v>
      </c>
      <c r="AB43" s="2" t="b">
        <v>0</v>
      </c>
      <c r="AC43" s="2" t="s">
        <v>655</v>
      </c>
      <c r="AE43" s="58" t="s">
        <v>632</v>
      </c>
      <c r="AF43" s="2" t="s">
        <v>601</v>
      </c>
      <c r="AG43" s="51" t="s">
        <v>853</v>
      </c>
      <c r="AH43" s="3">
        <v>45975.402019907408</v>
      </c>
      <c r="AI43" s="3">
        <v>45975.861718981483</v>
      </c>
      <c r="AL43" s="3" t="s">
        <v>47</v>
      </c>
      <c r="AS43">
        <v>0</v>
      </c>
      <c r="AT43">
        <v>0</v>
      </c>
      <c r="AX43" t="s">
        <v>618</v>
      </c>
    </row>
    <row r="44" spans="1:50">
      <c r="A44" s="2" t="s">
        <v>854</v>
      </c>
      <c r="B44" s="2" t="s">
        <v>855</v>
      </c>
      <c r="C44" s="2" t="s">
        <v>856</v>
      </c>
      <c r="D44" s="2" t="s">
        <v>857</v>
      </c>
      <c r="E44" s="2" t="s">
        <v>858</v>
      </c>
      <c r="I44" s="2" t="s">
        <v>608</v>
      </c>
      <c r="J44" s="2" t="s">
        <v>623</v>
      </c>
      <c r="K44" s="2" t="s">
        <v>624</v>
      </c>
      <c r="L44" s="2" t="b">
        <v>0</v>
      </c>
      <c r="M44" s="2" t="s">
        <v>859</v>
      </c>
      <c r="N44" s="2" t="s">
        <v>860</v>
      </c>
      <c r="O44" s="2" t="s">
        <v>763</v>
      </c>
      <c r="Q44" s="2">
        <v>3.8896903395652771E-2</v>
      </c>
      <c r="R44" s="6">
        <v>58.708746319444444</v>
      </c>
      <c r="S44" s="5">
        <v>45782.850148136575</v>
      </c>
      <c r="T44" s="5">
        <v>54789.541666666664</v>
      </c>
      <c r="U44" s="2" t="s">
        <v>610</v>
      </c>
      <c r="V44" s="2">
        <v>120</v>
      </c>
      <c r="W44" s="2" t="s">
        <v>628</v>
      </c>
      <c r="X44" s="2" t="s">
        <v>629</v>
      </c>
      <c r="Y44" s="2" t="s">
        <v>861</v>
      </c>
      <c r="AB44" s="2" t="b">
        <v>0</v>
      </c>
      <c r="AC44" s="2" t="s">
        <v>655</v>
      </c>
      <c r="AE44" s="2" t="s">
        <v>614</v>
      </c>
      <c r="AF44" s="2" t="s">
        <v>601</v>
      </c>
      <c r="AG44" s="51" t="s">
        <v>862</v>
      </c>
      <c r="AH44" s="3">
        <v>45952.387449780093</v>
      </c>
      <c r="AI44" s="3">
        <v>45975.406558576389</v>
      </c>
      <c r="AL44" s="3" t="s">
        <v>47</v>
      </c>
      <c r="AS44">
        <v>0</v>
      </c>
      <c r="AT44">
        <v>0</v>
      </c>
      <c r="AX44" t="s">
        <v>618</v>
      </c>
    </row>
    <row r="45" spans="1:50">
      <c r="A45" s="2" t="s">
        <v>863</v>
      </c>
      <c r="B45" s="2" t="s">
        <v>864</v>
      </c>
      <c r="C45" s="2" t="s">
        <v>856</v>
      </c>
      <c r="D45" s="2" t="s">
        <v>857</v>
      </c>
      <c r="E45" s="2" t="s">
        <v>858</v>
      </c>
      <c r="I45" s="2" t="s">
        <v>608</v>
      </c>
      <c r="J45" s="2" t="s">
        <v>623</v>
      </c>
      <c r="K45" s="2" t="s">
        <v>624</v>
      </c>
      <c r="L45" s="2" t="b">
        <v>0</v>
      </c>
      <c r="N45" s="2" t="s">
        <v>865</v>
      </c>
      <c r="Q45" s="2">
        <v>50.015720367431641</v>
      </c>
      <c r="R45" s="6">
        <v>70.062509432870371</v>
      </c>
      <c r="S45" s="5">
        <v>45782.850785659721</v>
      </c>
      <c r="T45" s="5">
        <v>54789.541666666664</v>
      </c>
      <c r="U45" s="2" t="s">
        <v>610</v>
      </c>
      <c r="V45" s="2">
        <v>120</v>
      </c>
      <c r="W45" s="2" t="s">
        <v>764</v>
      </c>
      <c r="X45" s="2" t="s">
        <v>765</v>
      </c>
      <c r="Y45" s="2" t="s">
        <v>866</v>
      </c>
      <c r="Z45" s="2" t="s">
        <v>867</v>
      </c>
      <c r="AB45" s="2" t="b">
        <v>0</v>
      </c>
      <c r="AC45" s="2" t="s">
        <v>655</v>
      </c>
      <c r="AE45" s="58" t="s">
        <v>632</v>
      </c>
      <c r="AF45" s="2" t="s">
        <v>601</v>
      </c>
      <c r="AG45" s="51" t="s">
        <v>868</v>
      </c>
      <c r="AH45" s="3">
        <v>45975.658808599539</v>
      </c>
      <c r="AI45" s="3">
        <v>45975.849711377312</v>
      </c>
      <c r="AL45" s="3" t="s">
        <v>47</v>
      </c>
      <c r="AS45">
        <v>0</v>
      </c>
      <c r="AT45">
        <v>0</v>
      </c>
      <c r="AX45" t="s">
        <v>618</v>
      </c>
    </row>
    <row r="46" spans="1:50">
      <c r="A46" s="2" t="s">
        <v>869</v>
      </c>
      <c r="B46" s="2" t="s">
        <v>870</v>
      </c>
      <c r="C46" s="2" t="s">
        <v>871</v>
      </c>
      <c r="D46" s="2" t="s">
        <v>872</v>
      </c>
      <c r="E46" s="2" t="s">
        <v>871</v>
      </c>
      <c r="I46" s="2" t="s">
        <v>608</v>
      </c>
      <c r="J46" s="2" t="s">
        <v>623</v>
      </c>
      <c r="K46" s="2" t="s">
        <v>624</v>
      </c>
      <c r="L46" s="2" t="b">
        <v>0</v>
      </c>
      <c r="M46" s="2" t="s">
        <v>873</v>
      </c>
      <c r="N46" s="2" t="s">
        <v>874</v>
      </c>
      <c r="O46" s="2" t="s">
        <v>627</v>
      </c>
      <c r="Q46" s="2">
        <v>60.835777282714844</v>
      </c>
      <c r="R46" s="6">
        <v>355.31429753472224</v>
      </c>
      <c r="S46" s="5">
        <v>45782.851375127313</v>
      </c>
      <c r="T46" s="5">
        <v>54789.541666666664</v>
      </c>
      <c r="U46" s="2" t="s">
        <v>610</v>
      </c>
      <c r="V46" s="2">
        <v>120</v>
      </c>
      <c r="W46" s="2" t="s">
        <v>764</v>
      </c>
      <c r="X46" s="2" t="s">
        <v>765</v>
      </c>
      <c r="Y46" s="2" t="s">
        <v>875</v>
      </c>
      <c r="Z46" s="2" t="s">
        <v>876</v>
      </c>
      <c r="AB46" s="2" t="b">
        <v>0</v>
      </c>
      <c r="AC46" s="2" t="s">
        <v>655</v>
      </c>
      <c r="AE46" s="2" t="s">
        <v>614</v>
      </c>
      <c r="AF46" s="2" t="s">
        <v>601</v>
      </c>
      <c r="AG46" s="51" t="s">
        <v>877</v>
      </c>
      <c r="AH46" s="3">
        <v>45975.517489155092</v>
      </c>
      <c r="AI46" s="3">
        <v>45975.530625729167</v>
      </c>
      <c r="AL46" s="3" t="s">
        <v>47</v>
      </c>
      <c r="AS46">
        <v>0</v>
      </c>
      <c r="AT46">
        <v>0</v>
      </c>
      <c r="AX46" t="s">
        <v>618</v>
      </c>
    </row>
    <row r="47" spans="1:50">
      <c r="A47" s="2" t="s">
        <v>878</v>
      </c>
      <c r="B47" s="2" t="s">
        <v>879</v>
      </c>
      <c r="C47" s="2" t="s">
        <v>871</v>
      </c>
      <c r="D47" s="2" t="s">
        <v>872</v>
      </c>
      <c r="E47" s="2" t="s">
        <v>871</v>
      </c>
      <c r="F47" s="2" t="s">
        <v>880</v>
      </c>
      <c r="G47" s="2" t="s">
        <v>881</v>
      </c>
      <c r="H47" s="2" t="s">
        <v>882</v>
      </c>
      <c r="I47" s="2" t="s">
        <v>608</v>
      </c>
      <c r="J47" s="2" t="s">
        <v>623</v>
      </c>
      <c r="K47" s="2" t="s">
        <v>624</v>
      </c>
      <c r="L47" s="2" t="b">
        <v>0</v>
      </c>
      <c r="M47" s="2" t="s">
        <v>883</v>
      </c>
      <c r="N47" s="2" t="s">
        <v>884</v>
      </c>
      <c r="O47" s="2" t="s">
        <v>627</v>
      </c>
      <c r="Q47" s="2">
        <v>194.314697265625</v>
      </c>
      <c r="R47" s="6">
        <v>385.90515763888891</v>
      </c>
      <c r="S47" s="5">
        <v>45782.85356260417</v>
      </c>
      <c r="T47" s="5">
        <v>54789.541666666664</v>
      </c>
      <c r="U47" s="2" t="s">
        <v>610</v>
      </c>
      <c r="V47" s="2">
        <v>120</v>
      </c>
      <c r="W47" s="2" t="s">
        <v>764</v>
      </c>
      <c r="X47" s="2" t="s">
        <v>765</v>
      </c>
      <c r="Y47" s="2" t="s">
        <v>885</v>
      </c>
      <c r="Z47" s="2" t="s">
        <v>886</v>
      </c>
      <c r="AB47" s="2" t="b">
        <v>0</v>
      </c>
      <c r="AC47" s="2" t="s">
        <v>655</v>
      </c>
      <c r="AE47" s="58" t="s">
        <v>632</v>
      </c>
      <c r="AF47" s="2" t="s">
        <v>601</v>
      </c>
      <c r="AG47" s="51" t="s">
        <v>887</v>
      </c>
      <c r="AH47" s="3">
        <v>45975.451518379632</v>
      </c>
      <c r="AI47" s="3">
        <v>45975.563347083335</v>
      </c>
      <c r="AL47" s="3" t="s">
        <v>47</v>
      </c>
      <c r="AS47">
        <v>0</v>
      </c>
      <c r="AT47">
        <v>0</v>
      </c>
      <c r="AX47" t="s">
        <v>618</v>
      </c>
    </row>
    <row r="48" spans="1:50">
      <c r="A48" s="2" t="s">
        <v>888</v>
      </c>
      <c r="B48" s="2" t="s">
        <v>889</v>
      </c>
      <c r="C48" s="2" t="s">
        <v>890</v>
      </c>
      <c r="D48" s="2" t="s">
        <v>891</v>
      </c>
      <c r="E48" s="2" t="s">
        <v>892</v>
      </c>
      <c r="I48" s="2" t="s">
        <v>608</v>
      </c>
      <c r="J48" s="2" t="s">
        <v>623</v>
      </c>
      <c r="K48" s="2" t="s">
        <v>624</v>
      </c>
      <c r="L48" s="2" t="b">
        <v>0</v>
      </c>
      <c r="M48" s="2" t="s">
        <v>761</v>
      </c>
      <c r="N48" s="2" t="s">
        <v>762</v>
      </c>
      <c r="O48" s="2" t="s">
        <v>763</v>
      </c>
      <c r="Q48" s="2">
        <v>351607.65625</v>
      </c>
      <c r="R48" s="6">
        <v>162.25437121527779</v>
      </c>
      <c r="S48" s="5">
        <v>45723.434772476852</v>
      </c>
      <c r="T48" s="5">
        <v>54789.541666666664</v>
      </c>
      <c r="U48" s="2" t="s">
        <v>610</v>
      </c>
      <c r="V48" s="2">
        <v>120</v>
      </c>
      <c r="W48" s="2" t="s">
        <v>628</v>
      </c>
      <c r="X48" s="2" t="s">
        <v>629</v>
      </c>
      <c r="Y48" s="2" t="s">
        <v>893</v>
      </c>
      <c r="Z48" s="2" t="s">
        <v>894</v>
      </c>
      <c r="AB48" s="2" t="b">
        <v>0</v>
      </c>
      <c r="AC48" s="2" t="s">
        <v>655</v>
      </c>
      <c r="AD48" s="2" t="s">
        <v>895</v>
      </c>
      <c r="AE48" s="2" t="s">
        <v>895</v>
      </c>
      <c r="AF48" s="2" t="s">
        <v>601</v>
      </c>
      <c r="AG48" s="51" t="s">
        <v>896</v>
      </c>
      <c r="AH48" s="3">
        <v>45975.677515752315</v>
      </c>
      <c r="AI48" s="3">
        <v>45975.845432418981</v>
      </c>
      <c r="AL48" s="3" t="s">
        <v>47</v>
      </c>
      <c r="AS48">
        <v>0</v>
      </c>
      <c r="AT48">
        <v>0</v>
      </c>
      <c r="AU48" t="s">
        <v>897</v>
      </c>
      <c r="AV48" t="s">
        <v>898</v>
      </c>
      <c r="AX48" t="s">
        <v>899</v>
      </c>
    </row>
    <row r="49" spans="1:50">
      <c r="A49" s="2" t="s">
        <v>900</v>
      </c>
      <c r="B49" s="2" t="s">
        <v>901</v>
      </c>
      <c r="C49" s="2" t="s">
        <v>902</v>
      </c>
      <c r="D49" s="2" t="s">
        <v>903</v>
      </c>
      <c r="E49" s="2" t="s">
        <v>904</v>
      </c>
      <c r="F49" s="2" t="s">
        <v>905</v>
      </c>
      <c r="G49" s="2" t="s">
        <v>906</v>
      </c>
      <c r="H49" s="2" t="s">
        <v>907</v>
      </c>
      <c r="I49" s="2" t="s">
        <v>608</v>
      </c>
      <c r="J49" s="2" t="s">
        <v>623</v>
      </c>
      <c r="K49" s="2" t="s">
        <v>624</v>
      </c>
      <c r="L49" s="2" t="b">
        <v>0</v>
      </c>
      <c r="M49" s="2" t="s">
        <v>761</v>
      </c>
      <c r="N49" s="2" t="s">
        <v>762</v>
      </c>
      <c r="O49" s="2" t="s">
        <v>763</v>
      </c>
      <c r="Q49" s="2">
        <v>271311.46875</v>
      </c>
      <c r="R49" s="6">
        <v>18.060657615740741</v>
      </c>
      <c r="S49" s="5">
        <v>45711.901464884257</v>
      </c>
      <c r="T49" s="5">
        <v>54789.541666666664</v>
      </c>
      <c r="U49" s="2" t="s">
        <v>610</v>
      </c>
      <c r="V49" s="2">
        <v>120</v>
      </c>
      <c r="W49" s="2" t="s">
        <v>628</v>
      </c>
      <c r="X49" s="2" t="s">
        <v>629</v>
      </c>
      <c r="Y49" s="2" t="s">
        <v>908</v>
      </c>
      <c r="Z49" s="2" t="s">
        <v>909</v>
      </c>
      <c r="AB49" s="2" t="b">
        <v>0</v>
      </c>
      <c r="AC49" s="2" t="s">
        <v>655</v>
      </c>
      <c r="AD49" s="2" t="s">
        <v>910</v>
      </c>
      <c r="AE49" s="2" t="s">
        <v>910</v>
      </c>
      <c r="AF49" s="2" t="s">
        <v>601</v>
      </c>
      <c r="AG49" s="51" t="s">
        <v>911</v>
      </c>
      <c r="AH49" s="3">
        <v>45975.746647222222</v>
      </c>
      <c r="AI49" s="3">
        <v>45975.85829074074</v>
      </c>
      <c r="AL49" s="3" t="s">
        <v>47</v>
      </c>
      <c r="AS49">
        <v>0</v>
      </c>
      <c r="AT49">
        <v>0</v>
      </c>
      <c r="AU49" t="s">
        <v>897</v>
      </c>
      <c r="AV49" t="s">
        <v>898</v>
      </c>
      <c r="AX49" t="s">
        <v>899</v>
      </c>
    </row>
    <row r="50" spans="1:50">
      <c r="A50" s="2" t="s">
        <v>912</v>
      </c>
      <c r="B50" s="2" t="s">
        <v>913</v>
      </c>
      <c r="C50" s="2" t="s">
        <v>890</v>
      </c>
      <c r="D50" s="2" t="s">
        <v>891</v>
      </c>
      <c r="E50" s="2" t="s">
        <v>892</v>
      </c>
      <c r="F50" s="2" t="s">
        <v>914</v>
      </c>
      <c r="G50" s="2" t="s">
        <v>915</v>
      </c>
      <c r="H50" s="2" t="s">
        <v>916</v>
      </c>
      <c r="I50" s="2" t="s">
        <v>608</v>
      </c>
      <c r="J50" s="2" t="s">
        <v>623</v>
      </c>
      <c r="K50" s="2" t="s">
        <v>624</v>
      </c>
      <c r="L50" s="2" t="b">
        <v>0</v>
      </c>
      <c r="M50" s="2" t="s">
        <v>761</v>
      </c>
      <c r="N50" s="2" t="s">
        <v>762</v>
      </c>
      <c r="O50" s="2" t="s">
        <v>763</v>
      </c>
      <c r="Q50" s="2">
        <v>273285.25</v>
      </c>
      <c r="R50" s="6">
        <v>12.362104560185186</v>
      </c>
      <c r="S50" s="5">
        <v>45734.599448356479</v>
      </c>
      <c r="T50" s="5">
        <v>54789.541666666664</v>
      </c>
      <c r="U50" s="2" t="s">
        <v>610</v>
      </c>
      <c r="V50" s="2">
        <v>120</v>
      </c>
      <c r="W50" s="2" t="s">
        <v>917</v>
      </c>
      <c r="X50" s="2" t="s">
        <v>918</v>
      </c>
      <c r="Y50" s="2" t="s">
        <v>919</v>
      </c>
      <c r="Z50" s="2" t="s">
        <v>920</v>
      </c>
      <c r="AB50" s="2" t="b">
        <v>0</v>
      </c>
      <c r="AC50" s="2" t="s">
        <v>655</v>
      </c>
      <c r="AD50" s="2" t="s">
        <v>921</v>
      </c>
      <c r="AE50" s="2" t="s">
        <v>921</v>
      </c>
      <c r="AF50" s="2" t="s">
        <v>601</v>
      </c>
      <c r="AG50" s="51" t="s">
        <v>922</v>
      </c>
      <c r="AH50" s="3">
        <v>45975.715330254628</v>
      </c>
      <c r="AI50" s="3">
        <v>45975.853860347219</v>
      </c>
      <c r="AL50" s="3" t="s">
        <v>47</v>
      </c>
      <c r="AS50">
        <v>0</v>
      </c>
      <c r="AT50">
        <v>0</v>
      </c>
      <c r="AU50" t="s">
        <v>923</v>
      </c>
      <c r="AV50" t="s">
        <v>924</v>
      </c>
      <c r="AW50" t="s">
        <v>925</v>
      </c>
      <c r="AX50" t="s">
        <v>926</v>
      </c>
    </row>
    <row r="51" spans="1:50">
      <c r="A51" s="2" t="s">
        <v>927</v>
      </c>
      <c r="B51" s="2" t="s">
        <v>928</v>
      </c>
      <c r="C51" s="2" t="s">
        <v>902</v>
      </c>
      <c r="D51" s="2" t="s">
        <v>903</v>
      </c>
      <c r="E51" s="2" t="s">
        <v>904</v>
      </c>
      <c r="F51" s="2" t="s">
        <v>929</v>
      </c>
      <c r="G51" s="2" t="s">
        <v>930</v>
      </c>
      <c r="H51" s="2" t="s">
        <v>931</v>
      </c>
      <c r="I51" s="2" t="s">
        <v>608</v>
      </c>
      <c r="J51" s="2" t="s">
        <v>623</v>
      </c>
      <c r="K51" s="2" t="s">
        <v>624</v>
      </c>
      <c r="L51" s="2" t="b">
        <v>0</v>
      </c>
      <c r="M51" s="2" t="s">
        <v>761</v>
      </c>
      <c r="N51" s="2" t="s">
        <v>762</v>
      </c>
      <c r="O51" s="2" t="s">
        <v>763</v>
      </c>
      <c r="Q51" s="2">
        <v>291364</v>
      </c>
      <c r="R51" s="6">
        <v>17.572655717592593</v>
      </c>
      <c r="S51" s="5">
        <v>45724.660327731479</v>
      </c>
      <c r="T51" s="5">
        <v>54789.541666666664</v>
      </c>
      <c r="U51" s="2" t="s">
        <v>610</v>
      </c>
      <c r="V51" s="2">
        <v>120</v>
      </c>
      <c r="W51" s="2" t="s">
        <v>917</v>
      </c>
      <c r="X51" s="2" t="s">
        <v>918</v>
      </c>
      <c r="Y51" s="2" t="s">
        <v>932</v>
      </c>
      <c r="Z51" s="2" t="s">
        <v>933</v>
      </c>
      <c r="AB51" s="2" t="b">
        <v>0</v>
      </c>
      <c r="AC51" s="2" t="s">
        <v>655</v>
      </c>
      <c r="AD51" s="2" t="s">
        <v>934</v>
      </c>
      <c r="AE51" s="2" t="s">
        <v>934</v>
      </c>
      <c r="AF51" s="2" t="s">
        <v>601</v>
      </c>
      <c r="AG51" s="51" t="s">
        <v>935</v>
      </c>
      <c r="AH51" s="3">
        <v>45975.731224351854</v>
      </c>
      <c r="AI51" s="3">
        <v>45975.857728981478</v>
      </c>
      <c r="AL51" s="3" t="s">
        <v>47</v>
      </c>
      <c r="AS51">
        <v>0</v>
      </c>
      <c r="AT51">
        <v>0</v>
      </c>
      <c r="AU51" t="s">
        <v>923</v>
      </c>
      <c r="AV51" t="s">
        <v>924</v>
      </c>
      <c r="AW51" t="s">
        <v>936</v>
      </c>
      <c r="AX51" t="s">
        <v>937</v>
      </c>
    </row>
    <row r="52" spans="1:50">
      <c r="A52" s="2" t="s">
        <v>938</v>
      </c>
      <c r="B52" s="2" t="s">
        <v>939</v>
      </c>
      <c r="C52" s="2" t="s">
        <v>890</v>
      </c>
      <c r="D52" s="2" t="s">
        <v>891</v>
      </c>
      <c r="E52" s="2" t="s">
        <v>892</v>
      </c>
      <c r="I52" s="2" t="s">
        <v>608</v>
      </c>
      <c r="J52" s="2" t="s">
        <v>623</v>
      </c>
      <c r="K52" s="2" t="s">
        <v>624</v>
      </c>
      <c r="L52" s="2" t="b">
        <v>0</v>
      </c>
      <c r="N52" s="2" t="s">
        <v>940</v>
      </c>
      <c r="Q52" s="2">
        <v>320214.78125</v>
      </c>
      <c r="R52" s="6">
        <v>8.4918268287037044</v>
      </c>
      <c r="S52" s="5">
        <v>45782.944705671296</v>
      </c>
      <c r="T52" s="5">
        <v>54789.541666666664</v>
      </c>
      <c r="U52" s="2" t="s">
        <v>610</v>
      </c>
      <c r="V52" s="2">
        <v>120</v>
      </c>
      <c r="W52" s="2" t="s">
        <v>917</v>
      </c>
      <c r="X52" s="2" t="s">
        <v>941</v>
      </c>
      <c r="Y52" s="2" t="s">
        <v>942</v>
      </c>
      <c r="Z52" s="2" t="s">
        <v>943</v>
      </c>
      <c r="AB52" s="2" t="b">
        <v>0</v>
      </c>
      <c r="AC52" s="2" t="s">
        <v>655</v>
      </c>
      <c r="AD52" s="2" t="s">
        <v>944</v>
      </c>
      <c r="AE52" s="2" t="s">
        <v>944</v>
      </c>
      <c r="AF52" s="2" t="s">
        <v>601</v>
      </c>
      <c r="AG52" s="51" t="s">
        <v>945</v>
      </c>
      <c r="AH52" s="3">
        <v>45975.738408113422</v>
      </c>
      <c r="AI52" s="3">
        <v>45975.843824780095</v>
      </c>
      <c r="AL52" s="3" t="s">
        <v>47</v>
      </c>
      <c r="AS52">
        <v>0</v>
      </c>
      <c r="AT52">
        <v>0</v>
      </c>
      <c r="AU52" t="s">
        <v>923</v>
      </c>
      <c r="AV52" t="s">
        <v>924</v>
      </c>
      <c r="AW52" t="s">
        <v>925</v>
      </c>
      <c r="AX52" t="s">
        <v>926</v>
      </c>
    </row>
    <row r="53" spans="1:50">
      <c r="A53" s="2" t="s">
        <v>946</v>
      </c>
      <c r="B53" s="2" t="s">
        <v>947</v>
      </c>
      <c r="C53" s="2" t="s">
        <v>948</v>
      </c>
      <c r="D53" s="2" t="s">
        <v>949</v>
      </c>
      <c r="E53" s="2" t="s">
        <v>950</v>
      </c>
      <c r="F53" s="2" t="s">
        <v>22</v>
      </c>
      <c r="G53" s="2" t="s">
        <v>951</v>
      </c>
      <c r="H53" s="2" t="s">
        <v>952</v>
      </c>
      <c r="I53" s="2" t="s">
        <v>608</v>
      </c>
      <c r="J53" s="2" t="s">
        <v>623</v>
      </c>
      <c r="K53" s="2" t="s">
        <v>624</v>
      </c>
      <c r="L53" s="2" t="b">
        <v>0</v>
      </c>
      <c r="N53" s="2" t="s">
        <v>953</v>
      </c>
      <c r="Q53" s="2">
        <v>324297.03125</v>
      </c>
      <c r="R53" s="6">
        <v>20.315802962962962</v>
      </c>
      <c r="S53" s="5">
        <v>45724.487993726849</v>
      </c>
      <c r="T53" s="5">
        <v>54789.541666666664</v>
      </c>
      <c r="U53" s="2" t="s">
        <v>610</v>
      </c>
      <c r="V53" s="2">
        <v>120</v>
      </c>
      <c r="W53" s="2" t="s">
        <v>628</v>
      </c>
      <c r="X53" s="2" t="s">
        <v>954</v>
      </c>
      <c r="Y53" s="2" t="s">
        <v>955</v>
      </c>
      <c r="Z53" s="2" t="s">
        <v>956</v>
      </c>
      <c r="AB53" s="2" t="b">
        <v>0</v>
      </c>
      <c r="AC53" s="2" t="s">
        <v>655</v>
      </c>
      <c r="AD53" s="2" t="s">
        <v>957</v>
      </c>
      <c r="AE53" s="2" t="s">
        <v>957</v>
      </c>
      <c r="AF53" s="2" t="s">
        <v>601</v>
      </c>
      <c r="AG53" s="51" t="s">
        <v>958</v>
      </c>
      <c r="AH53" s="3">
        <v>45975.838509606481</v>
      </c>
      <c r="AI53" s="3">
        <v>45975.860673958334</v>
      </c>
      <c r="AL53" s="3" t="s">
        <v>47</v>
      </c>
      <c r="AS53">
        <v>0</v>
      </c>
      <c r="AT53">
        <v>0</v>
      </c>
      <c r="AU53" t="s">
        <v>923</v>
      </c>
      <c r="AV53" t="s">
        <v>924</v>
      </c>
      <c r="AW53" t="s">
        <v>925</v>
      </c>
      <c r="AX53" t="s">
        <v>926</v>
      </c>
    </row>
    <row r="54" spans="1:50">
      <c r="A54" s="2" t="s">
        <v>959</v>
      </c>
      <c r="B54" s="2" t="s">
        <v>960</v>
      </c>
      <c r="C54" s="2" t="s">
        <v>890</v>
      </c>
      <c r="D54" s="2" t="s">
        <v>891</v>
      </c>
      <c r="E54" s="2" t="s">
        <v>892</v>
      </c>
      <c r="I54" s="2" t="s">
        <v>608</v>
      </c>
      <c r="J54" s="2" t="s">
        <v>623</v>
      </c>
      <c r="K54" s="2" t="s">
        <v>624</v>
      </c>
      <c r="L54" s="2" t="b">
        <v>0</v>
      </c>
      <c r="M54" s="2" t="s">
        <v>761</v>
      </c>
      <c r="N54" s="2" t="s">
        <v>762</v>
      </c>
      <c r="O54" s="2" t="s">
        <v>763</v>
      </c>
      <c r="Q54" s="2">
        <v>390382.40625</v>
      </c>
      <c r="R54" s="6">
        <v>14.613048553240741</v>
      </c>
      <c r="S54" s="5">
        <v>45724.482407731484</v>
      </c>
      <c r="T54" s="5">
        <v>54789.541666666664</v>
      </c>
      <c r="U54" s="2" t="s">
        <v>610</v>
      </c>
      <c r="V54" s="2">
        <v>120</v>
      </c>
      <c r="W54" s="2" t="s">
        <v>628</v>
      </c>
      <c r="X54" s="2" t="s">
        <v>629</v>
      </c>
      <c r="Y54" s="2" t="s">
        <v>961</v>
      </c>
      <c r="Z54" s="2" t="s">
        <v>962</v>
      </c>
      <c r="AB54" s="2" t="b">
        <v>0</v>
      </c>
      <c r="AC54" s="2" t="s">
        <v>655</v>
      </c>
      <c r="AE54" s="2" t="s">
        <v>664</v>
      </c>
      <c r="AF54" s="2" t="s">
        <v>601</v>
      </c>
      <c r="AG54" s="51" t="s">
        <v>963</v>
      </c>
      <c r="AH54" s="3">
        <v>45973.577818773148</v>
      </c>
      <c r="AI54" s="3">
        <v>45975.854219236113</v>
      </c>
      <c r="AL54" s="3" t="s">
        <v>47</v>
      </c>
      <c r="AS54">
        <v>0</v>
      </c>
      <c r="AT54">
        <v>0</v>
      </c>
      <c r="AX54" t="s">
        <v>618</v>
      </c>
    </row>
    <row r="55" spans="1:50">
      <c r="A55" s="2" t="s">
        <v>964</v>
      </c>
      <c r="B55" s="2" t="s">
        <v>965</v>
      </c>
      <c r="C55" s="2" t="s">
        <v>902</v>
      </c>
      <c r="D55" s="2" t="s">
        <v>903</v>
      </c>
      <c r="E55" s="2" t="s">
        <v>904</v>
      </c>
      <c r="F55" s="2" t="s">
        <v>966</v>
      </c>
      <c r="G55" s="2" t="s">
        <v>967</v>
      </c>
      <c r="H55" s="2" t="s">
        <v>968</v>
      </c>
      <c r="I55" s="2" t="s">
        <v>608</v>
      </c>
      <c r="J55" s="2" t="s">
        <v>623</v>
      </c>
      <c r="K55" s="2" t="s">
        <v>624</v>
      </c>
      <c r="L55" s="2" t="b">
        <v>0</v>
      </c>
      <c r="N55" s="2" t="s">
        <v>969</v>
      </c>
      <c r="Q55" s="2">
        <v>283860</v>
      </c>
      <c r="R55" s="6">
        <v>184.65833333333333</v>
      </c>
      <c r="S55" s="5">
        <v>45782.945388784719</v>
      </c>
      <c r="T55" s="5">
        <v>54789.541666666664</v>
      </c>
      <c r="U55" s="2" t="s">
        <v>610</v>
      </c>
      <c r="V55" s="2">
        <v>120</v>
      </c>
      <c r="W55" s="2" t="s">
        <v>917</v>
      </c>
      <c r="X55" s="2" t="s">
        <v>918</v>
      </c>
      <c r="Y55" s="2" t="s">
        <v>970</v>
      </c>
      <c r="Z55" s="2" t="s">
        <v>971</v>
      </c>
      <c r="AB55" s="2" t="b">
        <v>0</v>
      </c>
      <c r="AC55" s="2" t="s">
        <v>655</v>
      </c>
      <c r="AD55" s="2" t="s">
        <v>972</v>
      </c>
      <c r="AE55" s="2" t="s">
        <v>972</v>
      </c>
      <c r="AF55" s="2" t="s">
        <v>601</v>
      </c>
      <c r="AG55" s="51" t="s">
        <v>973</v>
      </c>
      <c r="AH55" s="3">
        <v>45975.770213935182</v>
      </c>
      <c r="AI55" s="3">
        <v>45975.855121342589</v>
      </c>
      <c r="AL55" s="3" t="s">
        <v>47</v>
      </c>
      <c r="AS55">
        <v>0</v>
      </c>
      <c r="AT55">
        <v>0</v>
      </c>
      <c r="AU55" t="s">
        <v>923</v>
      </c>
      <c r="AV55" t="s">
        <v>924</v>
      </c>
      <c r="AW55" t="s">
        <v>974</v>
      </c>
      <c r="AX55" t="s">
        <v>975</v>
      </c>
    </row>
    <row r="56" spans="1:50">
      <c r="A56" s="2" t="s">
        <v>976</v>
      </c>
      <c r="B56" s="2" t="s">
        <v>977</v>
      </c>
      <c r="C56" s="2" t="s">
        <v>902</v>
      </c>
      <c r="D56" s="2" t="s">
        <v>903</v>
      </c>
      <c r="E56" s="2" t="s">
        <v>904</v>
      </c>
      <c r="I56" s="2" t="s">
        <v>608</v>
      </c>
      <c r="J56" s="2" t="s">
        <v>623</v>
      </c>
      <c r="K56" s="2" t="s">
        <v>624</v>
      </c>
      <c r="L56" s="2" t="b">
        <v>0</v>
      </c>
      <c r="N56" s="2" t="s">
        <v>978</v>
      </c>
      <c r="Q56" s="2">
        <v>203129.359375</v>
      </c>
      <c r="R56" s="6">
        <v>182.03056712962962</v>
      </c>
      <c r="S56" s="5">
        <v>45724.473381967589</v>
      </c>
      <c r="T56" s="5">
        <v>54789.541666666664</v>
      </c>
      <c r="U56" s="2" t="s">
        <v>610</v>
      </c>
      <c r="V56" s="2">
        <v>120</v>
      </c>
      <c r="W56" s="2" t="s">
        <v>917</v>
      </c>
      <c r="X56" s="2" t="s">
        <v>918</v>
      </c>
      <c r="Y56" s="2" t="s">
        <v>979</v>
      </c>
      <c r="Z56" s="2" t="s">
        <v>980</v>
      </c>
      <c r="AB56" s="2" t="b">
        <v>0</v>
      </c>
      <c r="AC56" s="2" t="s">
        <v>655</v>
      </c>
      <c r="AD56" s="2" t="s">
        <v>981</v>
      </c>
      <c r="AE56" s="2" t="s">
        <v>981</v>
      </c>
      <c r="AF56" s="2" t="s">
        <v>601</v>
      </c>
      <c r="AG56" s="51" t="s">
        <v>982</v>
      </c>
      <c r="AH56" s="3">
        <v>45975.694665821757</v>
      </c>
      <c r="AI56" s="3">
        <v>45975.843473692126</v>
      </c>
      <c r="AL56" s="3" t="s">
        <v>47</v>
      </c>
      <c r="AS56">
        <v>0</v>
      </c>
      <c r="AT56">
        <v>0</v>
      </c>
      <c r="AU56" t="s">
        <v>923</v>
      </c>
      <c r="AV56" t="s">
        <v>924</v>
      </c>
      <c r="AW56" t="s">
        <v>974</v>
      </c>
      <c r="AX56" t="s">
        <v>975</v>
      </c>
    </row>
    <row r="57" spans="1:50">
      <c r="A57" s="2" t="s">
        <v>983</v>
      </c>
      <c r="B57" s="2" t="s">
        <v>984</v>
      </c>
      <c r="C57" s="2" t="s">
        <v>902</v>
      </c>
      <c r="D57" s="2" t="s">
        <v>903</v>
      </c>
      <c r="E57" s="2" t="s">
        <v>904</v>
      </c>
      <c r="I57" s="2" t="s">
        <v>608</v>
      </c>
      <c r="J57" s="2" t="s">
        <v>623</v>
      </c>
      <c r="K57" s="2" t="s">
        <v>624</v>
      </c>
      <c r="L57" s="2" t="b">
        <v>0</v>
      </c>
      <c r="N57" s="2" t="s">
        <v>985</v>
      </c>
      <c r="Q57" s="2">
        <v>200641</v>
      </c>
      <c r="R57" s="6">
        <v>172.21666667824073</v>
      </c>
      <c r="S57" s="5">
        <v>45711.899934108798</v>
      </c>
      <c r="T57" s="5">
        <v>54789.541666666664</v>
      </c>
      <c r="U57" s="2" t="s">
        <v>610</v>
      </c>
      <c r="V57" s="2">
        <v>120</v>
      </c>
      <c r="W57" s="2" t="s">
        <v>628</v>
      </c>
      <c r="X57" s="2" t="s">
        <v>954</v>
      </c>
      <c r="Y57" s="2" t="s">
        <v>986</v>
      </c>
      <c r="Z57" s="2" t="s">
        <v>987</v>
      </c>
      <c r="AB57" s="2" t="b">
        <v>0</v>
      </c>
      <c r="AC57" s="2" t="s">
        <v>655</v>
      </c>
      <c r="AD57" s="2" t="s">
        <v>988</v>
      </c>
      <c r="AE57" s="2" t="s">
        <v>988</v>
      </c>
      <c r="AF57" s="2" t="s">
        <v>601</v>
      </c>
      <c r="AG57" s="51" t="s">
        <v>973</v>
      </c>
      <c r="AH57" s="3">
        <v>45975.716890023148</v>
      </c>
      <c r="AI57" s="3">
        <v>45975.843383078703</v>
      </c>
      <c r="AL57" s="3" t="s">
        <v>47</v>
      </c>
      <c r="AS57">
        <v>0</v>
      </c>
      <c r="AT57">
        <v>0</v>
      </c>
      <c r="AU57" t="s">
        <v>923</v>
      </c>
      <c r="AV57" t="s">
        <v>924</v>
      </c>
      <c r="AW57" t="s">
        <v>974</v>
      </c>
      <c r="AX57" t="s">
        <v>975</v>
      </c>
    </row>
    <row r="58" spans="1:50">
      <c r="A58" s="2" t="s">
        <v>989</v>
      </c>
      <c r="B58" s="2" t="s">
        <v>990</v>
      </c>
      <c r="C58" s="2" t="s">
        <v>902</v>
      </c>
      <c r="D58" s="2" t="s">
        <v>903</v>
      </c>
      <c r="E58" s="2" t="s">
        <v>904</v>
      </c>
      <c r="F58" s="2" t="s">
        <v>991</v>
      </c>
      <c r="G58" s="2" t="s">
        <v>992</v>
      </c>
      <c r="H58" s="2" t="s">
        <v>993</v>
      </c>
      <c r="I58" s="2" t="s">
        <v>608</v>
      </c>
      <c r="J58" s="2" t="s">
        <v>623</v>
      </c>
      <c r="K58" s="2" t="s">
        <v>624</v>
      </c>
      <c r="L58" s="2" t="b">
        <v>0</v>
      </c>
      <c r="N58" s="2" t="s">
        <v>994</v>
      </c>
      <c r="Q58" s="2">
        <v>245581</v>
      </c>
      <c r="R58" s="6">
        <v>182.00416671296296</v>
      </c>
      <c r="S58" s="5">
        <v>45782.945882094908</v>
      </c>
      <c r="T58" s="5">
        <v>54789.541666666664</v>
      </c>
      <c r="U58" s="2" t="s">
        <v>610</v>
      </c>
      <c r="V58" s="2">
        <v>120</v>
      </c>
      <c r="W58" s="2" t="s">
        <v>917</v>
      </c>
      <c r="X58" s="2" t="s">
        <v>918</v>
      </c>
      <c r="Y58" s="2" t="s">
        <v>995</v>
      </c>
      <c r="Z58" s="2" t="s">
        <v>996</v>
      </c>
      <c r="AB58" s="2" t="b">
        <v>0</v>
      </c>
      <c r="AC58" s="2" t="s">
        <v>655</v>
      </c>
      <c r="AD58" s="2" t="s">
        <v>997</v>
      </c>
      <c r="AE58" s="2" t="s">
        <v>997</v>
      </c>
      <c r="AF58" s="2" t="s">
        <v>601</v>
      </c>
      <c r="AG58" s="51" t="s">
        <v>998</v>
      </c>
      <c r="AH58" s="3">
        <v>45975.847130983799</v>
      </c>
      <c r="AI58" s="3">
        <v>45975.847837002315</v>
      </c>
      <c r="AL58" s="3" t="s">
        <v>47</v>
      </c>
      <c r="AS58">
        <v>0</v>
      </c>
      <c r="AT58">
        <v>0</v>
      </c>
      <c r="AU58" t="s">
        <v>923</v>
      </c>
      <c r="AV58" t="s">
        <v>924</v>
      </c>
      <c r="AW58" t="s">
        <v>974</v>
      </c>
      <c r="AX58" t="s">
        <v>975</v>
      </c>
    </row>
    <row r="59" spans="1:50">
      <c r="A59" s="2" t="s">
        <v>999</v>
      </c>
      <c r="B59" s="2" t="s">
        <v>1000</v>
      </c>
      <c r="C59" s="2" t="s">
        <v>1001</v>
      </c>
      <c r="D59" s="2" t="s">
        <v>1002</v>
      </c>
      <c r="E59" s="2" t="s">
        <v>1003</v>
      </c>
      <c r="F59" s="2" t="s">
        <v>1004</v>
      </c>
      <c r="G59" s="2" t="s">
        <v>1005</v>
      </c>
      <c r="H59" s="2" t="s">
        <v>1006</v>
      </c>
      <c r="I59" s="2" t="s">
        <v>608</v>
      </c>
      <c r="J59" s="2" t="s">
        <v>623</v>
      </c>
      <c r="K59" s="2" t="s">
        <v>624</v>
      </c>
      <c r="L59" s="2" t="b">
        <v>0</v>
      </c>
      <c r="N59" s="2" t="s">
        <v>1007</v>
      </c>
      <c r="Q59" s="2">
        <v>234892</v>
      </c>
      <c r="R59" s="6">
        <v>183.25416666666666</v>
      </c>
      <c r="S59" s="5">
        <v>45711.897494907411</v>
      </c>
      <c r="T59" s="5">
        <v>54789.541666666664</v>
      </c>
      <c r="U59" s="2" t="s">
        <v>610</v>
      </c>
      <c r="V59" s="2">
        <v>120</v>
      </c>
      <c r="W59" s="2" t="s">
        <v>917</v>
      </c>
      <c r="X59" s="2" t="s">
        <v>918</v>
      </c>
      <c r="Y59" s="2" t="s">
        <v>1008</v>
      </c>
      <c r="Z59" s="2" t="s">
        <v>1009</v>
      </c>
      <c r="AB59" s="2" t="b">
        <v>0</v>
      </c>
      <c r="AC59" s="2" t="s">
        <v>655</v>
      </c>
      <c r="AD59" s="2" t="s">
        <v>1010</v>
      </c>
      <c r="AE59" s="2" t="s">
        <v>1010</v>
      </c>
      <c r="AF59" s="2" t="s">
        <v>601</v>
      </c>
      <c r="AG59" s="51" t="s">
        <v>998</v>
      </c>
      <c r="AH59" s="3">
        <v>45975.770087048608</v>
      </c>
      <c r="AI59" s="3">
        <v>45975.85485556713</v>
      </c>
      <c r="AL59" s="3" t="s">
        <v>47</v>
      </c>
      <c r="AS59">
        <v>0</v>
      </c>
      <c r="AT59">
        <v>0</v>
      </c>
      <c r="AU59" t="s">
        <v>923</v>
      </c>
      <c r="AV59" t="s">
        <v>924</v>
      </c>
      <c r="AW59" t="s">
        <v>1011</v>
      </c>
      <c r="AX59" t="s">
        <v>975</v>
      </c>
    </row>
    <row r="60" spans="1:50">
      <c r="A60" s="2" t="s">
        <v>1012</v>
      </c>
      <c r="B60" s="2" t="s">
        <v>1013</v>
      </c>
      <c r="C60" s="2" t="s">
        <v>890</v>
      </c>
      <c r="D60" s="2" t="s">
        <v>891</v>
      </c>
      <c r="E60" s="2" t="s">
        <v>892</v>
      </c>
      <c r="F60" s="2" t="s">
        <v>1014</v>
      </c>
      <c r="G60" s="2" t="s">
        <v>1015</v>
      </c>
      <c r="H60" s="2" t="s">
        <v>1016</v>
      </c>
      <c r="I60" s="2" t="s">
        <v>608</v>
      </c>
      <c r="J60" s="2" t="s">
        <v>623</v>
      </c>
      <c r="K60" s="2" t="s">
        <v>624</v>
      </c>
      <c r="L60" s="2" t="b">
        <v>0</v>
      </c>
      <c r="N60" s="2" t="s">
        <v>1017</v>
      </c>
      <c r="Q60" s="2">
        <v>232234.21875</v>
      </c>
      <c r="R60" s="6">
        <v>19.115577523148147</v>
      </c>
      <c r="S60" s="5">
        <v>45724.468965162036</v>
      </c>
      <c r="T60" s="5">
        <v>54789.541666666664</v>
      </c>
      <c r="U60" s="2" t="s">
        <v>610</v>
      </c>
      <c r="V60" s="2">
        <v>120</v>
      </c>
      <c r="W60" s="2" t="s">
        <v>628</v>
      </c>
      <c r="X60" s="2" t="s">
        <v>629</v>
      </c>
      <c r="Y60" s="2" t="s">
        <v>1018</v>
      </c>
      <c r="Z60" s="2" t="s">
        <v>1019</v>
      </c>
      <c r="AB60" s="2" t="b">
        <v>0</v>
      </c>
      <c r="AC60" s="2" t="s">
        <v>655</v>
      </c>
      <c r="AE60" s="58" t="s">
        <v>632</v>
      </c>
      <c r="AF60" s="2" t="s">
        <v>601</v>
      </c>
      <c r="AG60" s="51" t="s">
        <v>998</v>
      </c>
      <c r="AH60" s="3">
        <v>45975.758777291667</v>
      </c>
      <c r="AI60" s="3">
        <v>45975.845548124998</v>
      </c>
      <c r="AL60" s="3" t="s">
        <v>47</v>
      </c>
      <c r="AS60">
        <v>0</v>
      </c>
      <c r="AT60">
        <v>0</v>
      </c>
      <c r="AX60" t="s">
        <v>618</v>
      </c>
    </row>
    <row r="61" spans="1:50">
      <c r="A61" s="2" t="s">
        <v>1020</v>
      </c>
      <c r="B61" s="2" t="s">
        <v>1021</v>
      </c>
      <c r="C61" s="2" t="s">
        <v>902</v>
      </c>
      <c r="D61" s="2" t="s">
        <v>903</v>
      </c>
      <c r="E61" s="2" t="s">
        <v>904</v>
      </c>
      <c r="I61" s="2" t="s">
        <v>608</v>
      </c>
      <c r="J61" s="2" t="s">
        <v>623</v>
      </c>
      <c r="K61" s="2" t="s">
        <v>624</v>
      </c>
      <c r="L61" s="2" t="b">
        <v>0</v>
      </c>
      <c r="N61" s="2" t="s">
        <v>1022</v>
      </c>
      <c r="Q61" s="2">
        <v>214811</v>
      </c>
      <c r="R61" s="6">
        <v>177.38333333333333</v>
      </c>
      <c r="S61" s="5">
        <v>45730.51660815972</v>
      </c>
      <c r="T61" s="5">
        <v>54789.541666666664</v>
      </c>
      <c r="U61" s="2" t="s">
        <v>610</v>
      </c>
      <c r="V61" s="2">
        <v>120</v>
      </c>
      <c r="W61" s="2" t="s">
        <v>917</v>
      </c>
      <c r="X61" s="2" t="s">
        <v>941</v>
      </c>
      <c r="Y61" s="2" t="s">
        <v>1023</v>
      </c>
      <c r="Z61" s="2" t="s">
        <v>1024</v>
      </c>
      <c r="AB61" s="2" t="b">
        <v>0</v>
      </c>
      <c r="AC61" s="2" t="s">
        <v>655</v>
      </c>
      <c r="AD61" s="2" t="s">
        <v>1025</v>
      </c>
      <c r="AE61" s="2" t="s">
        <v>1025</v>
      </c>
      <c r="AF61" s="2" t="s">
        <v>601</v>
      </c>
      <c r="AG61" s="51" t="s">
        <v>1026</v>
      </c>
      <c r="AH61" s="3">
        <v>45975.754612731478</v>
      </c>
      <c r="AI61" s="3">
        <v>45975.860295601851</v>
      </c>
      <c r="AL61" s="3" t="s">
        <v>47</v>
      </c>
      <c r="AS61">
        <v>0</v>
      </c>
      <c r="AT61">
        <v>0</v>
      </c>
      <c r="AU61" t="s">
        <v>923</v>
      </c>
      <c r="AV61" t="s">
        <v>924</v>
      </c>
      <c r="AW61" t="s">
        <v>1011</v>
      </c>
      <c r="AX61" t="s">
        <v>975</v>
      </c>
    </row>
    <row r="62" spans="1:50">
      <c r="A62" s="2" t="s">
        <v>1027</v>
      </c>
      <c r="B62" s="2" t="s">
        <v>1028</v>
      </c>
      <c r="C62" s="2" t="s">
        <v>902</v>
      </c>
      <c r="D62" s="2" t="s">
        <v>903</v>
      </c>
      <c r="E62" s="2" t="s">
        <v>904</v>
      </c>
      <c r="I62" s="2" t="s">
        <v>608</v>
      </c>
      <c r="J62" s="2" t="s">
        <v>623</v>
      </c>
      <c r="K62" s="2" t="s">
        <v>624</v>
      </c>
      <c r="L62" s="2" t="b">
        <v>0</v>
      </c>
      <c r="N62" s="2" t="s">
        <v>1029</v>
      </c>
      <c r="Q62" s="2">
        <v>241564</v>
      </c>
      <c r="R62" s="6">
        <v>200.00833335648147</v>
      </c>
      <c r="S62" s="5">
        <v>45711.908677395833</v>
      </c>
      <c r="T62" s="5">
        <v>54789.541666666664</v>
      </c>
      <c r="U62" s="2" t="s">
        <v>610</v>
      </c>
      <c r="V62" s="2">
        <v>120</v>
      </c>
      <c r="W62" s="2" t="s">
        <v>628</v>
      </c>
      <c r="X62" s="2" t="s">
        <v>629</v>
      </c>
      <c r="Y62" s="2" t="s">
        <v>1030</v>
      </c>
      <c r="Z62" s="2" t="s">
        <v>1031</v>
      </c>
      <c r="AB62" s="2" t="b">
        <v>0</v>
      </c>
      <c r="AC62" s="2" t="s">
        <v>655</v>
      </c>
      <c r="AD62" s="2" t="s">
        <v>1032</v>
      </c>
      <c r="AE62" s="2" t="s">
        <v>1032</v>
      </c>
      <c r="AF62" s="2" t="s">
        <v>601</v>
      </c>
      <c r="AG62" s="51" t="s">
        <v>973</v>
      </c>
      <c r="AH62" s="3">
        <v>45975.722410034723</v>
      </c>
      <c r="AI62" s="3">
        <v>45975.848891516202</v>
      </c>
      <c r="AL62" s="3" t="s">
        <v>47</v>
      </c>
      <c r="AS62">
        <v>0</v>
      </c>
      <c r="AT62">
        <v>0</v>
      </c>
      <c r="AU62" t="s">
        <v>923</v>
      </c>
      <c r="AV62" t="s">
        <v>924</v>
      </c>
      <c r="AW62" t="s">
        <v>1011</v>
      </c>
      <c r="AX62" t="s">
        <v>975</v>
      </c>
    </row>
    <row r="63" spans="1:50">
      <c r="A63" s="2" t="s">
        <v>1033</v>
      </c>
      <c r="B63" s="2" t="s">
        <v>1034</v>
      </c>
      <c r="C63" s="2" t="s">
        <v>902</v>
      </c>
      <c r="D63" s="2" t="s">
        <v>903</v>
      </c>
      <c r="E63" s="2" t="s">
        <v>904</v>
      </c>
      <c r="F63" s="2" t="s">
        <v>1035</v>
      </c>
      <c r="G63" s="2" t="s">
        <v>1036</v>
      </c>
      <c r="H63" s="2" t="s">
        <v>1037</v>
      </c>
      <c r="I63" s="2" t="s">
        <v>608</v>
      </c>
      <c r="J63" s="2" t="s">
        <v>623</v>
      </c>
      <c r="K63" s="2" t="s">
        <v>624</v>
      </c>
      <c r="L63" s="2" t="b">
        <v>0</v>
      </c>
      <c r="M63" s="2" t="s">
        <v>761</v>
      </c>
      <c r="N63" s="2" t="s">
        <v>762</v>
      </c>
      <c r="O63" s="2" t="s">
        <v>763</v>
      </c>
      <c r="Q63" s="2">
        <v>342511</v>
      </c>
      <c r="R63" s="6">
        <v>19.380894247685184</v>
      </c>
      <c r="S63" s="5">
        <v>45807.114974837961</v>
      </c>
      <c r="T63" s="5">
        <v>54789.541666666664</v>
      </c>
      <c r="U63" s="2" t="s">
        <v>610</v>
      </c>
      <c r="V63" s="2">
        <v>120</v>
      </c>
      <c r="W63" s="2" t="s">
        <v>917</v>
      </c>
      <c r="X63" s="2" t="s">
        <v>1038</v>
      </c>
      <c r="Y63" s="2" t="s">
        <v>1039</v>
      </c>
      <c r="Z63" s="2" t="s">
        <v>1040</v>
      </c>
      <c r="AB63" s="2" t="b">
        <v>0</v>
      </c>
      <c r="AC63" s="2" t="s">
        <v>655</v>
      </c>
      <c r="AD63" s="2" t="s">
        <v>1041</v>
      </c>
      <c r="AE63" s="2" t="s">
        <v>1041</v>
      </c>
      <c r="AF63" s="2" t="s">
        <v>601</v>
      </c>
      <c r="AG63" s="51" t="s">
        <v>1042</v>
      </c>
      <c r="AH63" s="3">
        <v>45959.649459120374</v>
      </c>
      <c r="AI63" s="3">
        <v>45960.340523935185</v>
      </c>
      <c r="AL63" s="3" t="s">
        <v>768</v>
      </c>
      <c r="AS63">
        <v>0</v>
      </c>
      <c r="AT63">
        <v>0</v>
      </c>
      <c r="AU63" t="s">
        <v>923</v>
      </c>
      <c r="AV63" t="s">
        <v>924</v>
      </c>
      <c r="AW63" t="s">
        <v>1043</v>
      </c>
      <c r="AX63" t="s">
        <v>937</v>
      </c>
    </row>
    <row r="64" spans="1:50">
      <c r="A64" s="2" t="s">
        <v>1044</v>
      </c>
      <c r="B64" s="2" t="s">
        <v>1045</v>
      </c>
      <c r="C64" s="2" t="s">
        <v>902</v>
      </c>
      <c r="D64" s="2" t="s">
        <v>903</v>
      </c>
      <c r="E64" s="2" t="s">
        <v>904</v>
      </c>
      <c r="F64" s="2" t="s">
        <v>1046</v>
      </c>
      <c r="G64" s="2" t="s">
        <v>1047</v>
      </c>
      <c r="H64" s="2" t="s">
        <v>1048</v>
      </c>
      <c r="I64" s="2" t="s">
        <v>608</v>
      </c>
      <c r="J64" s="2" t="s">
        <v>623</v>
      </c>
      <c r="K64" s="2" t="s">
        <v>624</v>
      </c>
      <c r="L64" s="2" t="b">
        <v>0</v>
      </c>
      <c r="N64" s="2" t="s">
        <v>1049</v>
      </c>
      <c r="Q64" s="2">
        <v>260095</v>
      </c>
      <c r="R64" s="6">
        <v>20.891240601851852</v>
      </c>
      <c r="S64" s="5">
        <v>45721.965066493052</v>
      </c>
      <c r="T64" s="5">
        <v>54789.541666666664</v>
      </c>
      <c r="U64" s="2" t="s">
        <v>610</v>
      </c>
      <c r="V64" s="2">
        <v>120</v>
      </c>
      <c r="W64" s="2" t="s">
        <v>628</v>
      </c>
      <c r="X64" s="2" t="s">
        <v>629</v>
      </c>
      <c r="Y64" s="2" t="s">
        <v>1050</v>
      </c>
      <c r="Z64" s="2" t="s">
        <v>1051</v>
      </c>
      <c r="AB64" s="2" t="b">
        <v>0</v>
      </c>
      <c r="AC64" s="2" t="s">
        <v>655</v>
      </c>
      <c r="AD64" s="2" t="s">
        <v>1052</v>
      </c>
      <c r="AE64" s="2" t="s">
        <v>1052</v>
      </c>
      <c r="AF64" s="2" t="s">
        <v>601</v>
      </c>
      <c r="AG64" s="51" t="s">
        <v>1053</v>
      </c>
      <c r="AH64" s="3">
        <v>45975.731067372682</v>
      </c>
      <c r="AI64" s="3">
        <v>45975.85765302083</v>
      </c>
      <c r="AL64" s="3" t="s">
        <v>47</v>
      </c>
      <c r="AS64">
        <v>0</v>
      </c>
      <c r="AT64">
        <v>0</v>
      </c>
      <c r="AU64" t="s">
        <v>1054</v>
      </c>
      <c r="AV64" t="s">
        <v>1055</v>
      </c>
      <c r="AX64" t="s">
        <v>1056</v>
      </c>
    </row>
    <row r="65" spans="1:50">
      <c r="A65" s="2" t="s">
        <v>1057</v>
      </c>
      <c r="B65" s="2" t="s">
        <v>1058</v>
      </c>
      <c r="C65" s="2" t="s">
        <v>902</v>
      </c>
      <c r="D65" s="2" t="s">
        <v>903</v>
      </c>
      <c r="E65" s="2" t="s">
        <v>904</v>
      </c>
      <c r="F65" s="2" t="s">
        <v>1059</v>
      </c>
      <c r="G65" s="2" t="s">
        <v>1060</v>
      </c>
      <c r="H65" s="2" t="s">
        <v>1061</v>
      </c>
      <c r="I65" s="2" t="s">
        <v>608</v>
      </c>
      <c r="J65" s="2" t="s">
        <v>623</v>
      </c>
      <c r="K65" s="2" t="s">
        <v>624</v>
      </c>
      <c r="L65" s="2" t="b">
        <v>0</v>
      </c>
      <c r="M65" s="2" t="s">
        <v>761</v>
      </c>
      <c r="N65" s="2" t="s">
        <v>762</v>
      </c>
      <c r="O65" s="2" t="s">
        <v>763</v>
      </c>
      <c r="Q65" s="2">
        <v>307523.03125</v>
      </c>
      <c r="R65" s="6">
        <v>11.145335555555556</v>
      </c>
      <c r="S65" s="5">
        <v>45711.906941111112</v>
      </c>
      <c r="T65" s="5">
        <v>54789.541666666664</v>
      </c>
      <c r="U65" s="2" t="s">
        <v>610</v>
      </c>
      <c r="V65" s="2">
        <v>120</v>
      </c>
      <c r="W65" s="2" t="s">
        <v>917</v>
      </c>
      <c r="X65" s="2" t="s">
        <v>918</v>
      </c>
      <c r="Y65" s="2" t="s">
        <v>1062</v>
      </c>
      <c r="Z65" s="2" t="s">
        <v>1063</v>
      </c>
      <c r="AB65" s="2" t="b">
        <v>0</v>
      </c>
      <c r="AC65" s="2" t="s">
        <v>655</v>
      </c>
      <c r="AD65" s="2" t="s">
        <v>1064</v>
      </c>
      <c r="AE65" s="2" t="s">
        <v>1064</v>
      </c>
      <c r="AF65" s="2" t="s">
        <v>601</v>
      </c>
      <c r="AG65" s="51" t="s">
        <v>1065</v>
      </c>
      <c r="AH65" s="3">
        <v>45975.679024062498</v>
      </c>
      <c r="AI65" s="3">
        <v>45975.67916295139</v>
      </c>
      <c r="AL65" s="3" t="s">
        <v>47</v>
      </c>
      <c r="AS65">
        <v>859000</v>
      </c>
      <c r="AT65">
        <v>0</v>
      </c>
      <c r="AU65" t="s">
        <v>923</v>
      </c>
      <c r="AV65" t="s">
        <v>924</v>
      </c>
      <c r="AW65" t="s">
        <v>936</v>
      </c>
      <c r="AX65" t="s">
        <v>937</v>
      </c>
    </row>
    <row r="66" spans="1:50">
      <c r="A66" s="2" t="s">
        <v>1066</v>
      </c>
      <c r="B66" s="2" t="s">
        <v>1067</v>
      </c>
      <c r="C66" s="2" t="s">
        <v>902</v>
      </c>
      <c r="D66" s="2" t="s">
        <v>903</v>
      </c>
      <c r="E66" s="2" t="s">
        <v>904</v>
      </c>
      <c r="F66" s="2" t="s">
        <v>21</v>
      </c>
      <c r="G66" s="2" t="s">
        <v>1068</v>
      </c>
      <c r="H66" s="2" t="s">
        <v>1069</v>
      </c>
      <c r="I66" s="2" t="s">
        <v>608</v>
      </c>
      <c r="J66" s="2" t="s">
        <v>623</v>
      </c>
      <c r="K66" s="2" t="s">
        <v>624</v>
      </c>
      <c r="L66" s="2" t="b">
        <v>0</v>
      </c>
      <c r="M66" s="2" t="s">
        <v>761</v>
      </c>
      <c r="N66" s="2" t="s">
        <v>762</v>
      </c>
      <c r="O66" s="2" t="s">
        <v>763</v>
      </c>
      <c r="Q66" s="2">
        <v>216087</v>
      </c>
      <c r="R66" s="6">
        <v>176.60185142361112</v>
      </c>
      <c r="S66" s="5">
        <v>45782.946403611109</v>
      </c>
      <c r="T66" s="5">
        <v>54789.541666666664</v>
      </c>
      <c r="U66" s="2" t="s">
        <v>610</v>
      </c>
      <c r="V66" s="2">
        <v>120</v>
      </c>
      <c r="W66" s="2" t="s">
        <v>917</v>
      </c>
      <c r="X66" s="2" t="s">
        <v>918</v>
      </c>
      <c r="Y66" s="2" t="s">
        <v>1070</v>
      </c>
      <c r="Z66" s="2" t="s">
        <v>1071</v>
      </c>
      <c r="AB66" s="2" t="b">
        <v>0</v>
      </c>
      <c r="AC66" s="2" t="s">
        <v>655</v>
      </c>
      <c r="AD66" s="2" t="s">
        <v>1072</v>
      </c>
      <c r="AE66" s="2" t="s">
        <v>1072</v>
      </c>
      <c r="AF66" s="2" t="s">
        <v>601</v>
      </c>
      <c r="AG66" s="51" t="s">
        <v>1073</v>
      </c>
      <c r="AH66" s="3">
        <v>45975.510286400466</v>
      </c>
      <c r="AI66" s="3">
        <v>45975.84441834491</v>
      </c>
      <c r="AL66" s="3" t="s">
        <v>47</v>
      </c>
      <c r="AS66">
        <v>0</v>
      </c>
      <c r="AT66">
        <v>0</v>
      </c>
      <c r="AU66" t="s">
        <v>923</v>
      </c>
      <c r="AV66" t="s">
        <v>924</v>
      </c>
      <c r="AW66" t="s">
        <v>1011</v>
      </c>
      <c r="AX66" t="s">
        <v>975</v>
      </c>
    </row>
    <row r="67" spans="1:50">
      <c r="A67" s="2" t="s">
        <v>1074</v>
      </c>
      <c r="B67" s="2" t="s">
        <v>1075</v>
      </c>
      <c r="C67" s="2" t="s">
        <v>902</v>
      </c>
      <c r="D67" s="2" t="s">
        <v>903</v>
      </c>
      <c r="E67" s="2" t="s">
        <v>904</v>
      </c>
      <c r="I67" s="2" t="s">
        <v>608</v>
      </c>
      <c r="J67" s="2" t="s">
        <v>623</v>
      </c>
      <c r="K67" s="2" t="s">
        <v>624</v>
      </c>
      <c r="L67" s="2" t="b">
        <v>0</v>
      </c>
      <c r="M67" s="2" t="s">
        <v>652</v>
      </c>
      <c r="N67" s="2" t="s">
        <v>799</v>
      </c>
      <c r="O67" s="2" t="s">
        <v>627</v>
      </c>
      <c r="Q67" s="2">
        <v>313710</v>
      </c>
      <c r="R67" s="6">
        <v>7.7172958217592589</v>
      </c>
      <c r="S67" s="5">
        <v>45724.467322453704</v>
      </c>
      <c r="T67" s="5">
        <v>54789.541666666664</v>
      </c>
      <c r="U67" s="2" t="s">
        <v>610</v>
      </c>
      <c r="V67" s="2">
        <v>120</v>
      </c>
      <c r="W67" s="2" t="s">
        <v>628</v>
      </c>
      <c r="X67" s="2" t="s">
        <v>629</v>
      </c>
      <c r="Y67" s="2" t="s">
        <v>1076</v>
      </c>
      <c r="Z67" s="2" t="s">
        <v>1077</v>
      </c>
      <c r="AB67" s="2" t="b">
        <v>0</v>
      </c>
      <c r="AC67" s="2" t="s">
        <v>655</v>
      </c>
      <c r="AD67" s="2" t="s">
        <v>1078</v>
      </c>
      <c r="AE67" s="2" t="s">
        <v>1078</v>
      </c>
      <c r="AF67" s="2" t="s">
        <v>601</v>
      </c>
      <c r="AG67" s="51" t="s">
        <v>1079</v>
      </c>
      <c r="AH67" s="3">
        <v>45975.646253460647</v>
      </c>
      <c r="AI67" s="3">
        <v>45975.856160868054</v>
      </c>
      <c r="AL67" s="3" t="s">
        <v>47</v>
      </c>
      <c r="AS67">
        <v>0</v>
      </c>
      <c r="AT67">
        <v>0</v>
      </c>
      <c r="AU67" t="s">
        <v>1054</v>
      </c>
      <c r="AV67" t="s">
        <v>1055</v>
      </c>
      <c r="AX67" t="s">
        <v>1056</v>
      </c>
    </row>
    <row r="68" spans="1:50">
      <c r="A68" s="2" t="s">
        <v>1080</v>
      </c>
      <c r="B68" s="2" t="s">
        <v>1081</v>
      </c>
      <c r="C68" s="2" t="s">
        <v>902</v>
      </c>
      <c r="D68" s="2" t="s">
        <v>903</v>
      </c>
      <c r="E68" s="2" t="s">
        <v>904</v>
      </c>
      <c r="I68" s="2" t="s">
        <v>608</v>
      </c>
      <c r="J68" s="2" t="s">
        <v>623</v>
      </c>
      <c r="K68" s="2" t="s">
        <v>624</v>
      </c>
      <c r="L68" s="2" t="b">
        <v>0</v>
      </c>
      <c r="N68" s="2" t="s">
        <v>1082</v>
      </c>
      <c r="Q68" s="2">
        <v>191253</v>
      </c>
      <c r="R68" s="6">
        <v>16.18579732638889</v>
      </c>
      <c r="S68" s="5">
        <v>45724.486282384256</v>
      </c>
      <c r="T68" s="5">
        <v>54789.541666666664</v>
      </c>
      <c r="U68" s="2" t="s">
        <v>610</v>
      </c>
      <c r="V68" s="2">
        <v>120</v>
      </c>
      <c r="W68" s="2" t="s">
        <v>628</v>
      </c>
      <c r="X68" s="2" t="s">
        <v>629</v>
      </c>
      <c r="Y68" s="2" t="s">
        <v>1083</v>
      </c>
      <c r="Z68" s="2" t="s">
        <v>1084</v>
      </c>
      <c r="AB68" s="2" t="b">
        <v>0</v>
      </c>
      <c r="AC68" s="2" t="s">
        <v>655</v>
      </c>
      <c r="AD68" s="2" t="s">
        <v>1085</v>
      </c>
      <c r="AE68" s="2" t="s">
        <v>1085</v>
      </c>
      <c r="AF68" s="2" t="s">
        <v>601</v>
      </c>
      <c r="AG68" s="51" t="s">
        <v>1086</v>
      </c>
      <c r="AH68" s="3">
        <v>45975.629012048608</v>
      </c>
      <c r="AI68" s="3">
        <v>45975.859579178243</v>
      </c>
      <c r="AL68" s="3" t="s">
        <v>47</v>
      </c>
      <c r="AS68">
        <v>0</v>
      </c>
      <c r="AT68">
        <v>0</v>
      </c>
      <c r="AU68" t="s">
        <v>1054</v>
      </c>
      <c r="AV68" t="s">
        <v>1055</v>
      </c>
      <c r="AX68" t="s">
        <v>1056</v>
      </c>
    </row>
    <row r="69" spans="1:50">
      <c r="A69" s="2" t="s">
        <v>1087</v>
      </c>
      <c r="B69" s="2" t="s">
        <v>1088</v>
      </c>
      <c r="C69" s="2" t="s">
        <v>1089</v>
      </c>
      <c r="D69" s="2" t="s">
        <v>1090</v>
      </c>
      <c r="E69" s="2" t="s">
        <v>1091</v>
      </c>
      <c r="I69" s="2" t="s">
        <v>608</v>
      </c>
      <c r="J69" s="2" t="s">
        <v>623</v>
      </c>
      <c r="K69" s="2" t="s">
        <v>624</v>
      </c>
      <c r="L69" s="2" t="b">
        <v>0</v>
      </c>
      <c r="N69" s="2" t="s">
        <v>1092</v>
      </c>
      <c r="Q69" s="2">
        <v>222856</v>
      </c>
      <c r="R69" s="6">
        <v>190.89583335648149</v>
      </c>
      <c r="S69" s="5">
        <v>45734.562146226854</v>
      </c>
      <c r="T69" s="5">
        <v>54789.541666666664</v>
      </c>
      <c r="U69" s="2" t="s">
        <v>610</v>
      </c>
      <c r="V69" s="2">
        <v>120</v>
      </c>
      <c r="W69" s="2" t="s">
        <v>917</v>
      </c>
      <c r="X69" s="2" t="s">
        <v>1093</v>
      </c>
      <c r="Y69" s="2" t="s">
        <v>1094</v>
      </c>
      <c r="Z69" s="2" t="s">
        <v>1095</v>
      </c>
      <c r="AB69" s="2" t="b">
        <v>0</v>
      </c>
      <c r="AC69" s="2" t="s">
        <v>655</v>
      </c>
      <c r="AD69" s="2" t="s">
        <v>1096</v>
      </c>
      <c r="AE69" s="2" t="s">
        <v>1096</v>
      </c>
      <c r="AF69" s="2" t="s">
        <v>601</v>
      </c>
      <c r="AG69" s="51" t="s">
        <v>1097</v>
      </c>
      <c r="AH69" s="3">
        <v>45975.765239641201</v>
      </c>
      <c r="AI69" s="3">
        <v>45975.850054456016</v>
      </c>
      <c r="AL69" s="3" t="s">
        <v>47</v>
      </c>
      <c r="AS69">
        <v>0</v>
      </c>
      <c r="AT69">
        <v>0</v>
      </c>
      <c r="AU69" t="s">
        <v>923</v>
      </c>
      <c r="AV69" t="s">
        <v>924</v>
      </c>
      <c r="AW69" t="s">
        <v>1011</v>
      </c>
      <c r="AX69" t="s">
        <v>975</v>
      </c>
    </row>
    <row r="70" spans="1:50">
      <c r="A70" s="2" t="s">
        <v>1098</v>
      </c>
      <c r="B70" s="2" t="s">
        <v>1099</v>
      </c>
      <c r="C70" s="2" t="s">
        <v>902</v>
      </c>
      <c r="D70" s="2" t="s">
        <v>903</v>
      </c>
      <c r="E70" s="2" t="s">
        <v>904</v>
      </c>
      <c r="F70" s="2" t="s">
        <v>1100</v>
      </c>
      <c r="G70" s="2" t="s">
        <v>1101</v>
      </c>
      <c r="H70" s="2" t="s">
        <v>1102</v>
      </c>
      <c r="I70" s="2" t="s">
        <v>608</v>
      </c>
      <c r="J70" s="2" t="s">
        <v>623</v>
      </c>
      <c r="K70" s="2" t="s">
        <v>624</v>
      </c>
      <c r="L70" s="2" t="b">
        <v>0</v>
      </c>
      <c r="N70" s="2" t="s">
        <v>1103</v>
      </c>
      <c r="Q70" s="2">
        <v>226992</v>
      </c>
      <c r="R70" s="6">
        <v>7.2601068518518517</v>
      </c>
      <c r="S70" s="5">
        <v>45782.947095150463</v>
      </c>
      <c r="T70" s="5">
        <v>54789.541666666664</v>
      </c>
      <c r="U70" s="2" t="s">
        <v>610</v>
      </c>
      <c r="V70" s="2">
        <v>120</v>
      </c>
      <c r="W70" s="2" t="s">
        <v>917</v>
      </c>
      <c r="X70" s="2" t="s">
        <v>918</v>
      </c>
      <c r="Y70" s="2" t="s">
        <v>1104</v>
      </c>
      <c r="Z70" s="2" t="s">
        <v>1105</v>
      </c>
      <c r="AB70" s="2" t="b">
        <v>0</v>
      </c>
      <c r="AC70" s="2" t="s">
        <v>655</v>
      </c>
      <c r="AD70" s="2" t="s">
        <v>1106</v>
      </c>
      <c r="AE70" s="2" t="s">
        <v>1106</v>
      </c>
      <c r="AF70" s="2" t="s">
        <v>601</v>
      </c>
      <c r="AG70" s="51" t="s">
        <v>1107</v>
      </c>
      <c r="AH70" s="3">
        <v>45975.816766840275</v>
      </c>
      <c r="AI70" s="3">
        <v>45975.859972858794</v>
      </c>
      <c r="AL70" s="3" t="s">
        <v>47</v>
      </c>
      <c r="AS70">
        <v>0</v>
      </c>
      <c r="AT70">
        <v>0</v>
      </c>
      <c r="AU70" t="s">
        <v>923</v>
      </c>
      <c r="AV70" t="s">
        <v>924</v>
      </c>
      <c r="AW70" t="s">
        <v>1108</v>
      </c>
      <c r="AX70" t="s">
        <v>937</v>
      </c>
    </row>
    <row r="71" spans="1:50">
      <c r="A71" s="2" t="s">
        <v>1109</v>
      </c>
      <c r="B71" s="2" t="s">
        <v>1110</v>
      </c>
      <c r="C71" s="2" t="s">
        <v>890</v>
      </c>
      <c r="D71" s="2" t="s">
        <v>891</v>
      </c>
      <c r="E71" s="2" t="s">
        <v>892</v>
      </c>
      <c r="I71" s="2" t="s">
        <v>608</v>
      </c>
      <c r="J71" s="2" t="s">
        <v>623</v>
      </c>
      <c r="K71" s="2" t="s">
        <v>624</v>
      </c>
      <c r="L71" s="2" t="b">
        <v>0</v>
      </c>
      <c r="N71" s="2" t="s">
        <v>1111</v>
      </c>
      <c r="Q71" s="2">
        <v>227499.015625</v>
      </c>
      <c r="R71" s="6">
        <v>20.251641886574074</v>
      </c>
      <c r="S71" s="5">
        <v>45724.485530497688</v>
      </c>
      <c r="T71" s="5">
        <v>54789.541666666664</v>
      </c>
      <c r="U71" s="2" t="s">
        <v>610</v>
      </c>
      <c r="V71" s="2">
        <v>120</v>
      </c>
      <c r="W71" s="2" t="s">
        <v>628</v>
      </c>
      <c r="X71" s="2" t="s">
        <v>629</v>
      </c>
      <c r="Y71" s="2" t="s">
        <v>1112</v>
      </c>
      <c r="Z71" s="2" t="s">
        <v>1113</v>
      </c>
      <c r="AB71" s="2" t="b">
        <v>0</v>
      </c>
      <c r="AC71" s="2" t="s">
        <v>655</v>
      </c>
      <c r="AE71" s="2" t="s">
        <v>664</v>
      </c>
      <c r="AF71" s="2" t="s">
        <v>601</v>
      </c>
      <c r="AG71" s="51" t="s">
        <v>1114</v>
      </c>
      <c r="AH71" s="3">
        <v>45975.715988483797</v>
      </c>
      <c r="AI71" s="3">
        <v>45975.842261631944</v>
      </c>
      <c r="AL71" s="3" t="s">
        <v>47</v>
      </c>
      <c r="AS71">
        <v>0</v>
      </c>
      <c r="AT71">
        <v>0</v>
      </c>
      <c r="AX71" t="s">
        <v>618</v>
      </c>
    </row>
    <row r="72" spans="1:50">
      <c r="A72" s="2" t="s">
        <v>1115</v>
      </c>
      <c r="B72" s="2" t="s">
        <v>1116</v>
      </c>
      <c r="C72" s="2" t="s">
        <v>902</v>
      </c>
      <c r="D72" s="2" t="s">
        <v>903</v>
      </c>
      <c r="E72" s="2" t="s">
        <v>904</v>
      </c>
      <c r="F72" s="2" t="s">
        <v>1117</v>
      </c>
      <c r="G72" s="2" t="s">
        <v>1118</v>
      </c>
      <c r="H72" s="2" t="s">
        <v>1119</v>
      </c>
      <c r="I72" s="2" t="s">
        <v>608</v>
      </c>
      <c r="J72" s="2" t="s">
        <v>623</v>
      </c>
      <c r="K72" s="2" t="s">
        <v>624</v>
      </c>
      <c r="L72" s="2" t="b">
        <v>0</v>
      </c>
      <c r="N72" s="2" t="s">
        <v>1120</v>
      </c>
      <c r="Q72" s="2">
        <v>307822.78125</v>
      </c>
      <c r="R72" s="6">
        <v>207.61720668981482</v>
      </c>
      <c r="S72" s="5">
        <v>45807.562881180558</v>
      </c>
      <c r="T72" s="5">
        <v>54789.541666666664</v>
      </c>
      <c r="U72" s="2" t="s">
        <v>610</v>
      </c>
      <c r="V72" s="2">
        <v>120</v>
      </c>
      <c r="W72" s="2" t="s">
        <v>917</v>
      </c>
      <c r="X72" s="2" t="s">
        <v>918</v>
      </c>
      <c r="Y72" s="2" t="s">
        <v>1121</v>
      </c>
      <c r="Z72" s="2" t="s">
        <v>1122</v>
      </c>
      <c r="AB72" s="2" t="b">
        <v>0</v>
      </c>
      <c r="AC72" s="2" t="s">
        <v>655</v>
      </c>
      <c r="AD72" s="2" t="s">
        <v>1123</v>
      </c>
      <c r="AE72" s="2" t="s">
        <v>1123</v>
      </c>
      <c r="AF72" s="2" t="s">
        <v>601</v>
      </c>
      <c r="AG72" s="51" t="s">
        <v>1124</v>
      </c>
      <c r="AH72" s="3">
        <v>45975.75166454861</v>
      </c>
      <c r="AI72" s="3">
        <v>45975.859963159724</v>
      </c>
      <c r="AL72" s="3" t="s">
        <v>47</v>
      </c>
      <c r="AS72">
        <v>-133000</v>
      </c>
      <c r="AT72">
        <v>0</v>
      </c>
      <c r="AU72" t="s">
        <v>923</v>
      </c>
      <c r="AV72" t="s">
        <v>924</v>
      </c>
      <c r="AW72" t="s">
        <v>1125</v>
      </c>
      <c r="AX72" t="s">
        <v>937</v>
      </c>
    </row>
    <row r="73" spans="1:50">
      <c r="A73" s="2" t="s">
        <v>1126</v>
      </c>
      <c r="B73" s="2" t="s">
        <v>1127</v>
      </c>
      <c r="C73" s="2" t="s">
        <v>1128</v>
      </c>
      <c r="D73" s="2" t="s">
        <v>1129</v>
      </c>
      <c r="E73" s="2" t="s">
        <v>1130</v>
      </c>
      <c r="F73" s="2" t="s">
        <v>1131</v>
      </c>
      <c r="G73" s="2" t="s">
        <v>1132</v>
      </c>
      <c r="H73" s="2" t="s">
        <v>1133</v>
      </c>
      <c r="I73" s="2" t="s">
        <v>608</v>
      </c>
      <c r="J73" s="2" t="s">
        <v>623</v>
      </c>
      <c r="K73" s="2" t="s">
        <v>624</v>
      </c>
      <c r="L73" s="2" t="b">
        <v>0</v>
      </c>
      <c r="N73" s="2" t="s">
        <v>1134</v>
      </c>
      <c r="Q73" s="2">
        <v>135374</v>
      </c>
      <c r="R73" s="6">
        <v>118.26250001157408</v>
      </c>
      <c r="S73" s="5">
        <v>45782.947577326391</v>
      </c>
      <c r="T73" s="5">
        <v>54789.541666666664</v>
      </c>
      <c r="U73" s="2" t="s">
        <v>610</v>
      </c>
      <c r="V73" s="2">
        <v>120</v>
      </c>
      <c r="W73" s="2" t="s">
        <v>628</v>
      </c>
      <c r="X73" s="2" t="s">
        <v>629</v>
      </c>
      <c r="Y73" s="2" t="s">
        <v>1135</v>
      </c>
      <c r="Z73" s="2" t="s">
        <v>1136</v>
      </c>
      <c r="AB73" s="2" t="b">
        <v>0</v>
      </c>
      <c r="AC73" s="2" t="s">
        <v>655</v>
      </c>
      <c r="AD73" s="2" t="s">
        <v>1137</v>
      </c>
      <c r="AE73" s="2" t="s">
        <v>1137</v>
      </c>
      <c r="AF73" s="2" t="s">
        <v>601</v>
      </c>
      <c r="AG73" s="51" t="s">
        <v>1138</v>
      </c>
      <c r="AH73" s="3">
        <v>45975.803485543984</v>
      </c>
      <c r="AI73" s="3">
        <v>45975.846784155096</v>
      </c>
      <c r="AL73" s="3" t="s">
        <v>47</v>
      </c>
      <c r="AS73">
        <v>0</v>
      </c>
      <c r="AT73">
        <v>0</v>
      </c>
      <c r="AU73" t="s">
        <v>923</v>
      </c>
      <c r="AV73" t="s">
        <v>924</v>
      </c>
      <c r="AW73" t="s">
        <v>1139</v>
      </c>
      <c r="AX73" t="s">
        <v>975</v>
      </c>
    </row>
    <row r="74" spans="1:50">
      <c r="A74" s="2" t="s">
        <v>1140</v>
      </c>
      <c r="B74" s="2" t="s">
        <v>1141</v>
      </c>
      <c r="C74" s="2" t="s">
        <v>1142</v>
      </c>
      <c r="D74" s="2" t="s">
        <v>1143</v>
      </c>
      <c r="E74" s="2" t="s">
        <v>1144</v>
      </c>
      <c r="F74" s="2" t="s">
        <v>1145</v>
      </c>
      <c r="G74" s="2" t="s">
        <v>1146</v>
      </c>
      <c r="H74" s="2" t="s">
        <v>1147</v>
      </c>
      <c r="I74" s="2" t="s">
        <v>608</v>
      </c>
      <c r="J74" s="2" t="s">
        <v>623</v>
      </c>
      <c r="K74" s="2" t="s">
        <v>624</v>
      </c>
      <c r="L74" s="2" t="b">
        <v>0</v>
      </c>
      <c r="N74" s="2" t="s">
        <v>1148</v>
      </c>
      <c r="Q74" s="2">
        <v>139270</v>
      </c>
      <c r="R74" s="6">
        <v>135.62916668981481</v>
      </c>
      <c r="S74" s="5">
        <v>45782.948031354164</v>
      </c>
      <c r="T74" s="5">
        <v>54789.541666666664</v>
      </c>
      <c r="U74" s="2" t="s">
        <v>610</v>
      </c>
      <c r="V74" s="2">
        <v>120</v>
      </c>
      <c r="W74" s="2" t="s">
        <v>628</v>
      </c>
      <c r="X74" s="2" t="s">
        <v>629</v>
      </c>
      <c r="Y74" s="2" t="s">
        <v>1149</v>
      </c>
      <c r="Z74" s="2" t="s">
        <v>1150</v>
      </c>
      <c r="AB74" s="2" t="b">
        <v>0</v>
      </c>
      <c r="AC74" s="2" t="s">
        <v>655</v>
      </c>
      <c r="AD74" s="2" t="s">
        <v>1151</v>
      </c>
      <c r="AE74" s="2" t="s">
        <v>1151</v>
      </c>
      <c r="AF74" s="2" t="s">
        <v>601</v>
      </c>
      <c r="AG74" s="51" t="s">
        <v>1138</v>
      </c>
      <c r="AH74" s="3">
        <v>45975.712053055555</v>
      </c>
      <c r="AI74" s="3">
        <v>45975.859367870369</v>
      </c>
      <c r="AL74" s="3" t="s">
        <v>47</v>
      </c>
      <c r="AS74">
        <v>0</v>
      </c>
      <c r="AT74">
        <v>0</v>
      </c>
      <c r="AU74" t="s">
        <v>923</v>
      </c>
      <c r="AV74" t="s">
        <v>924</v>
      </c>
      <c r="AW74" t="s">
        <v>1152</v>
      </c>
      <c r="AX74" t="s">
        <v>975</v>
      </c>
    </row>
    <row r="75" spans="1:50">
      <c r="A75" s="2" t="s">
        <v>1153</v>
      </c>
      <c r="B75" s="2" t="s">
        <v>1154</v>
      </c>
      <c r="C75" s="2" t="s">
        <v>902</v>
      </c>
      <c r="D75" s="2" t="s">
        <v>903</v>
      </c>
      <c r="E75" s="2" t="s">
        <v>904</v>
      </c>
      <c r="F75" s="2" t="s">
        <v>1155</v>
      </c>
      <c r="G75" s="2" t="s">
        <v>992</v>
      </c>
      <c r="H75" s="2" t="s">
        <v>1156</v>
      </c>
      <c r="I75" s="2" t="s">
        <v>608</v>
      </c>
      <c r="J75" s="2" t="s">
        <v>623</v>
      </c>
      <c r="K75" s="2" t="s">
        <v>624</v>
      </c>
      <c r="L75" s="2" t="b">
        <v>0</v>
      </c>
      <c r="N75" s="2" t="s">
        <v>1157</v>
      </c>
      <c r="Q75" s="2">
        <v>210375</v>
      </c>
      <c r="R75" s="6">
        <v>215.10833336805555</v>
      </c>
      <c r="S75" s="5">
        <v>45782.948485532404</v>
      </c>
      <c r="T75" s="5">
        <v>54789.541666666664</v>
      </c>
      <c r="U75" s="2" t="s">
        <v>610</v>
      </c>
      <c r="V75" s="2">
        <v>120</v>
      </c>
      <c r="W75" s="2" t="s">
        <v>917</v>
      </c>
      <c r="X75" s="2" t="s">
        <v>918</v>
      </c>
      <c r="Y75" s="2" t="s">
        <v>1158</v>
      </c>
      <c r="Z75" s="2" t="s">
        <v>1159</v>
      </c>
      <c r="AB75" s="2" t="b">
        <v>0</v>
      </c>
      <c r="AC75" s="2" t="s">
        <v>655</v>
      </c>
      <c r="AD75" s="2" t="s">
        <v>1160</v>
      </c>
      <c r="AE75" s="2" t="s">
        <v>1160</v>
      </c>
      <c r="AF75" s="2" t="s">
        <v>601</v>
      </c>
      <c r="AG75" s="51" t="s">
        <v>1124</v>
      </c>
      <c r="AH75" s="3">
        <v>45975.743604502313</v>
      </c>
      <c r="AI75" s="3">
        <v>45975.84927579861</v>
      </c>
      <c r="AL75" s="3" t="s">
        <v>47</v>
      </c>
      <c r="AS75">
        <v>0</v>
      </c>
      <c r="AT75">
        <v>0</v>
      </c>
      <c r="AU75" t="s">
        <v>923</v>
      </c>
      <c r="AV75" t="s">
        <v>924</v>
      </c>
      <c r="AW75" t="s">
        <v>1125</v>
      </c>
      <c r="AX75" t="s">
        <v>937</v>
      </c>
    </row>
    <row r="76" spans="1:50">
      <c r="A76" s="2" t="s">
        <v>1161</v>
      </c>
      <c r="B76" s="2" t="s">
        <v>1162</v>
      </c>
      <c r="C76" s="2" t="s">
        <v>902</v>
      </c>
      <c r="D76" s="2" t="s">
        <v>903</v>
      </c>
      <c r="E76" s="2" t="s">
        <v>904</v>
      </c>
      <c r="F76" s="2" t="s">
        <v>1163</v>
      </c>
      <c r="G76" s="2" t="s">
        <v>1164</v>
      </c>
      <c r="H76" s="2" t="s">
        <v>1165</v>
      </c>
      <c r="I76" s="2" t="s">
        <v>608</v>
      </c>
      <c r="J76" s="2" t="s">
        <v>623</v>
      </c>
      <c r="K76" s="2" t="s">
        <v>624</v>
      </c>
      <c r="L76" s="2" t="b">
        <v>0</v>
      </c>
      <c r="N76" s="2" t="s">
        <v>1166</v>
      </c>
      <c r="Q76" s="2">
        <v>224995</v>
      </c>
      <c r="R76" s="6">
        <v>6.8945932638888889</v>
      </c>
      <c r="S76" s="5">
        <v>45782.94951273148</v>
      </c>
      <c r="T76" s="5">
        <v>54789.541666666664</v>
      </c>
      <c r="U76" s="2" t="s">
        <v>610</v>
      </c>
      <c r="V76" s="2">
        <v>120</v>
      </c>
      <c r="W76" s="2" t="s">
        <v>917</v>
      </c>
      <c r="X76" s="2" t="s">
        <v>918</v>
      </c>
      <c r="Y76" s="2" t="s">
        <v>1167</v>
      </c>
      <c r="Z76" s="2" t="s">
        <v>1168</v>
      </c>
      <c r="AB76" s="2" t="b">
        <v>0</v>
      </c>
      <c r="AC76" s="2" t="s">
        <v>655</v>
      </c>
      <c r="AD76" s="2" t="s">
        <v>1169</v>
      </c>
      <c r="AE76" s="2" t="s">
        <v>1169</v>
      </c>
      <c r="AF76" s="2" t="s">
        <v>601</v>
      </c>
      <c r="AG76" s="51" t="s">
        <v>1170</v>
      </c>
      <c r="AH76" s="3">
        <v>45975.752619375002</v>
      </c>
      <c r="AI76" s="3">
        <v>45975.858255949075</v>
      </c>
      <c r="AL76" s="3" t="s">
        <v>47</v>
      </c>
      <c r="AS76">
        <v>0</v>
      </c>
      <c r="AT76">
        <v>0</v>
      </c>
      <c r="AU76" t="s">
        <v>923</v>
      </c>
      <c r="AV76" t="s">
        <v>924</v>
      </c>
      <c r="AW76" t="s">
        <v>1108</v>
      </c>
      <c r="AX76" t="s">
        <v>937</v>
      </c>
    </row>
    <row r="77" spans="1:50">
      <c r="A77" s="2" t="s">
        <v>1171</v>
      </c>
      <c r="B77" s="2" t="s">
        <v>1172</v>
      </c>
      <c r="C77" s="2" t="s">
        <v>1142</v>
      </c>
      <c r="D77" s="2" t="s">
        <v>1143</v>
      </c>
      <c r="E77" s="2" t="s">
        <v>1144</v>
      </c>
      <c r="F77" s="2" t="s">
        <v>1173</v>
      </c>
      <c r="G77" s="2" t="s">
        <v>1174</v>
      </c>
      <c r="H77" s="2" t="s">
        <v>1175</v>
      </c>
      <c r="I77" s="2" t="s">
        <v>608</v>
      </c>
      <c r="J77" s="2" t="s">
        <v>623</v>
      </c>
      <c r="K77" s="2" t="s">
        <v>624</v>
      </c>
      <c r="L77" s="2" t="b">
        <v>0</v>
      </c>
      <c r="N77" s="2" t="s">
        <v>1176</v>
      </c>
      <c r="Q77" s="2">
        <v>169380</v>
      </c>
      <c r="R77" s="6">
        <v>143.37083336805554</v>
      </c>
      <c r="S77" s="5">
        <v>45782.950107708333</v>
      </c>
      <c r="T77" s="5">
        <v>54789.541666666664</v>
      </c>
      <c r="U77" s="2" t="s">
        <v>610</v>
      </c>
      <c r="V77" s="2">
        <v>120</v>
      </c>
      <c r="W77" s="2" t="s">
        <v>628</v>
      </c>
      <c r="X77" s="2" t="s">
        <v>629</v>
      </c>
      <c r="Y77" s="2" t="s">
        <v>1177</v>
      </c>
      <c r="Z77" s="2" t="s">
        <v>1178</v>
      </c>
      <c r="AB77" s="2" t="b">
        <v>0</v>
      </c>
      <c r="AC77" s="2" t="s">
        <v>655</v>
      </c>
      <c r="AD77" s="2" t="s">
        <v>1179</v>
      </c>
      <c r="AE77" s="2" t="s">
        <v>1179</v>
      </c>
      <c r="AF77" s="2" t="s">
        <v>601</v>
      </c>
      <c r="AG77" s="51" t="s">
        <v>1138</v>
      </c>
      <c r="AH77" s="3">
        <v>45975.657399305557</v>
      </c>
      <c r="AI77" s="3">
        <v>45975.846380787036</v>
      </c>
      <c r="AL77" s="3" t="s">
        <v>47</v>
      </c>
      <c r="AS77">
        <v>0</v>
      </c>
      <c r="AT77">
        <v>0</v>
      </c>
      <c r="AU77" t="s">
        <v>923</v>
      </c>
      <c r="AV77" t="s">
        <v>924</v>
      </c>
      <c r="AW77" t="s">
        <v>1152</v>
      </c>
      <c r="AX77" t="s">
        <v>975</v>
      </c>
    </row>
    <row r="78" spans="1:50">
      <c r="A78" s="2" t="s">
        <v>1180</v>
      </c>
      <c r="B78" s="2" t="s">
        <v>1181</v>
      </c>
      <c r="C78" s="2" t="s">
        <v>902</v>
      </c>
      <c r="D78" s="2" t="s">
        <v>903</v>
      </c>
      <c r="E78" s="2" t="s">
        <v>904</v>
      </c>
      <c r="F78" s="2" t="s">
        <v>1182</v>
      </c>
      <c r="G78" s="2" t="s">
        <v>1183</v>
      </c>
      <c r="H78" s="2" t="s">
        <v>1184</v>
      </c>
      <c r="I78" s="2" t="s">
        <v>608</v>
      </c>
      <c r="J78" s="2" t="s">
        <v>623</v>
      </c>
      <c r="K78" s="2" t="s">
        <v>624</v>
      </c>
      <c r="L78" s="2" t="b">
        <v>0</v>
      </c>
      <c r="N78" s="2" t="s">
        <v>1185</v>
      </c>
      <c r="Q78" s="2">
        <v>151222</v>
      </c>
      <c r="R78" s="6">
        <v>11.177892581018519</v>
      </c>
      <c r="S78" s="5">
        <v>45711.908192777781</v>
      </c>
      <c r="T78" s="5">
        <v>54789.541666666664</v>
      </c>
      <c r="U78" s="2" t="s">
        <v>610</v>
      </c>
      <c r="V78" s="2">
        <v>120</v>
      </c>
      <c r="W78" s="2" t="s">
        <v>628</v>
      </c>
      <c r="X78" s="2" t="s">
        <v>629</v>
      </c>
      <c r="Y78" s="2" t="s">
        <v>1186</v>
      </c>
      <c r="Z78" s="2" t="s">
        <v>1187</v>
      </c>
      <c r="AB78" s="2" t="b">
        <v>0</v>
      </c>
      <c r="AC78" s="2" t="s">
        <v>655</v>
      </c>
      <c r="AD78" s="2" t="s">
        <v>1188</v>
      </c>
      <c r="AE78" s="2" t="s">
        <v>1188</v>
      </c>
      <c r="AF78" s="2" t="s">
        <v>601</v>
      </c>
      <c r="AG78" s="51" t="s">
        <v>1189</v>
      </c>
      <c r="AH78" s="3">
        <v>45975.641076030093</v>
      </c>
      <c r="AI78" s="3">
        <v>45975.850960289354</v>
      </c>
      <c r="AL78" s="3" t="s">
        <v>47</v>
      </c>
      <c r="AS78">
        <v>0</v>
      </c>
      <c r="AT78">
        <v>0</v>
      </c>
      <c r="AU78" t="s">
        <v>1054</v>
      </c>
      <c r="AV78" t="s">
        <v>1055</v>
      </c>
      <c r="AX78" t="s">
        <v>1056</v>
      </c>
    </row>
    <row r="79" spans="1:50">
      <c r="A79" s="2" t="s">
        <v>1190</v>
      </c>
      <c r="B79" s="2" t="s">
        <v>1191</v>
      </c>
      <c r="C79" s="2" t="s">
        <v>1089</v>
      </c>
      <c r="D79" s="2" t="s">
        <v>1090</v>
      </c>
      <c r="E79" s="2" t="s">
        <v>1091</v>
      </c>
      <c r="F79" s="2" t="s">
        <v>905</v>
      </c>
      <c r="G79" s="2" t="s">
        <v>1192</v>
      </c>
      <c r="H79" s="2" t="s">
        <v>1193</v>
      </c>
      <c r="I79" s="2" t="s">
        <v>608</v>
      </c>
      <c r="J79" s="2" t="s">
        <v>623</v>
      </c>
      <c r="K79" s="2" t="s">
        <v>624</v>
      </c>
      <c r="L79" s="2" t="b">
        <v>0</v>
      </c>
      <c r="N79" s="2" t="s">
        <v>1194</v>
      </c>
      <c r="Q79" s="2">
        <v>143570</v>
      </c>
      <c r="R79" s="6">
        <v>115.58333335648148</v>
      </c>
      <c r="S79" s="5">
        <v>45782.950747210649</v>
      </c>
      <c r="T79" s="5">
        <v>54789.541666666664</v>
      </c>
      <c r="U79" s="2" t="s">
        <v>610</v>
      </c>
      <c r="V79" s="2">
        <v>120</v>
      </c>
      <c r="W79" s="2" t="s">
        <v>917</v>
      </c>
      <c r="X79" s="2" t="s">
        <v>918</v>
      </c>
      <c r="Y79" s="2" t="s">
        <v>1195</v>
      </c>
      <c r="Z79" s="2" t="s">
        <v>1196</v>
      </c>
      <c r="AB79" s="2" t="b">
        <v>0</v>
      </c>
      <c r="AC79" s="2" t="s">
        <v>655</v>
      </c>
      <c r="AD79" s="2" t="s">
        <v>1197</v>
      </c>
      <c r="AE79" s="2" t="s">
        <v>1197</v>
      </c>
      <c r="AF79" s="2" t="s">
        <v>601</v>
      </c>
      <c r="AG79" s="51" t="s">
        <v>1198</v>
      </c>
      <c r="AH79" s="3">
        <v>45975.758338912034</v>
      </c>
      <c r="AI79" s="3">
        <v>45975.843211597225</v>
      </c>
      <c r="AL79" s="3" t="s">
        <v>47</v>
      </c>
      <c r="AS79">
        <v>0</v>
      </c>
      <c r="AT79">
        <v>0</v>
      </c>
      <c r="AU79" t="s">
        <v>923</v>
      </c>
      <c r="AV79" t="s">
        <v>924</v>
      </c>
      <c r="AW79" t="s">
        <v>1152</v>
      </c>
      <c r="AX79" t="s">
        <v>975</v>
      </c>
    </row>
    <row r="80" spans="1:50">
      <c r="A80" s="2" t="s">
        <v>1199</v>
      </c>
      <c r="B80" s="2" t="s">
        <v>1200</v>
      </c>
      <c r="C80" s="2" t="s">
        <v>1201</v>
      </c>
      <c r="D80" s="2" t="s">
        <v>1202</v>
      </c>
      <c r="E80" s="2" t="s">
        <v>1203</v>
      </c>
      <c r="F80" s="2" t="s">
        <v>1204</v>
      </c>
      <c r="G80" s="2" t="s">
        <v>1205</v>
      </c>
      <c r="H80" s="2" t="s">
        <v>1206</v>
      </c>
      <c r="I80" s="2" t="s">
        <v>608</v>
      </c>
      <c r="J80" s="2" t="s">
        <v>623</v>
      </c>
      <c r="K80" s="2" t="s">
        <v>624</v>
      </c>
      <c r="L80" s="2" t="b">
        <v>0</v>
      </c>
      <c r="N80" s="2" t="s">
        <v>1207</v>
      </c>
      <c r="Q80" s="2">
        <v>102142</v>
      </c>
      <c r="R80" s="6">
        <v>6.5402584490740745</v>
      </c>
      <c r="S80" s="5">
        <v>45711.899434027779</v>
      </c>
      <c r="T80" s="5">
        <v>54789.541666666664</v>
      </c>
      <c r="U80" s="2" t="s">
        <v>610</v>
      </c>
      <c r="V80" s="2">
        <v>120</v>
      </c>
      <c r="W80" s="2" t="s">
        <v>628</v>
      </c>
      <c r="X80" s="2" t="s">
        <v>629</v>
      </c>
      <c r="Y80" s="2" t="s">
        <v>1208</v>
      </c>
      <c r="Z80" s="2" t="s">
        <v>1209</v>
      </c>
      <c r="AB80" s="2" t="b">
        <v>0</v>
      </c>
      <c r="AC80" s="2" t="s">
        <v>655</v>
      </c>
      <c r="AD80" s="2" t="s">
        <v>1210</v>
      </c>
      <c r="AE80" s="2" t="s">
        <v>1210</v>
      </c>
      <c r="AF80" s="2" t="s">
        <v>601</v>
      </c>
      <c r="AG80" s="51" t="s">
        <v>1211</v>
      </c>
      <c r="AH80" s="3">
        <v>45975.754423923609</v>
      </c>
      <c r="AI80" s="3">
        <v>45975.859991053243</v>
      </c>
      <c r="AL80" s="3" t="s">
        <v>47</v>
      </c>
      <c r="AS80">
        <v>0</v>
      </c>
      <c r="AT80">
        <v>0</v>
      </c>
      <c r="AU80" t="s">
        <v>897</v>
      </c>
      <c r="AV80" t="s">
        <v>1212</v>
      </c>
      <c r="AX80" t="s">
        <v>1213</v>
      </c>
    </row>
    <row r="81" spans="1:50">
      <c r="A81" s="2" t="s">
        <v>1214</v>
      </c>
      <c r="B81" s="2" t="s">
        <v>1215</v>
      </c>
      <c r="C81" s="2" t="s">
        <v>1128</v>
      </c>
      <c r="D81" s="2" t="s">
        <v>1129</v>
      </c>
      <c r="E81" s="2" t="s">
        <v>1130</v>
      </c>
      <c r="F81" s="2" t="s">
        <v>1216</v>
      </c>
      <c r="G81" s="2" t="s">
        <v>1217</v>
      </c>
      <c r="H81" s="2" t="s">
        <v>1218</v>
      </c>
      <c r="I81" s="2" t="s">
        <v>608</v>
      </c>
      <c r="J81" s="2" t="s">
        <v>623</v>
      </c>
      <c r="K81" s="2" t="s">
        <v>624</v>
      </c>
      <c r="L81" s="2" t="b">
        <v>0</v>
      </c>
      <c r="N81" s="2" t="s">
        <v>1219</v>
      </c>
      <c r="Q81" s="2">
        <v>99256.8984375</v>
      </c>
      <c r="R81" s="6">
        <v>93.070833344907413</v>
      </c>
      <c r="S81" s="5">
        <v>45712.513066273146</v>
      </c>
      <c r="T81" s="5">
        <v>54789.541666666664</v>
      </c>
      <c r="U81" s="2" t="s">
        <v>610</v>
      </c>
      <c r="V81" s="2">
        <v>120</v>
      </c>
      <c r="W81" s="2" t="s">
        <v>628</v>
      </c>
      <c r="X81" s="2" t="s">
        <v>629</v>
      </c>
      <c r="Y81" s="2" t="s">
        <v>1220</v>
      </c>
      <c r="Z81" s="2" t="s">
        <v>1221</v>
      </c>
      <c r="AB81" s="2" t="b">
        <v>0</v>
      </c>
      <c r="AC81" s="2" t="s">
        <v>655</v>
      </c>
      <c r="AD81" s="2" t="s">
        <v>1222</v>
      </c>
      <c r="AE81" s="2" t="s">
        <v>1222</v>
      </c>
      <c r="AF81" s="2" t="s">
        <v>601</v>
      </c>
      <c r="AG81" s="51" t="s">
        <v>1223</v>
      </c>
      <c r="AH81" s="3">
        <v>45975.691230069446</v>
      </c>
      <c r="AI81" s="3">
        <v>45975.859389791665</v>
      </c>
      <c r="AL81" s="3" t="s">
        <v>47</v>
      </c>
      <c r="AS81">
        <v>0</v>
      </c>
      <c r="AT81">
        <v>0</v>
      </c>
      <c r="AU81" t="s">
        <v>923</v>
      </c>
      <c r="AV81" t="s">
        <v>924</v>
      </c>
      <c r="AW81" t="s">
        <v>1224</v>
      </c>
      <c r="AX81" t="s">
        <v>975</v>
      </c>
    </row>
    <row r="82" spans="1:50">
      <c r="A82" s="2" t="s">
        <v>1225</v>
      </c>
      <c r="B82" s="2" t="s">
        <v>1226</v>
      </c>
      <c r="C82" s="2" t="s">
        <v>1128</v>
      </c>
      <c r="D82" s="2" t="s">
        <v>1129</v>
      </c>
      <c r="E82" s="2" t="s">
        <v>1130</v>
      </c>
      <c r="F82" s="2" t="s">
        <v>1227</v>
      </c>
      <c r="G82" s="2" t="s">
        <v>1228</v>
      </c>
      <c r="H82" s="2" t="s">
        <v>1229</v>
      </c>
      <c r="I82" s="2" t="s">
        <v>608</v>
      </c>
      <c r="J82" s="2" t="s">
        <v>623</v>
      </c>
      <c r="K82" s="2" t="s">
        <v>624</v>
      </c>
      <c r="L82" s="2" t="b">
        <v>0</v>
      </c>
      <c r="N82" s="2" t="s">
        <v>1230</v>
      </c>
      <c r="Q82" s="2">
        <v>108708.203125</v>
      </c>
      <c r="R82" s="6">
        <v>86.69583336805556</v>
      </c>
      <c r="S82" s="5">
        <v>45711.909266655093</v>
      </c>
      <c r="T82" s="5">
        <v>54789.541666666664</v>
      </c>
      <c r="U82" s="2" t="s">
        <v>610</v>
      </c>
      <c r="V82" s="2">
        <v>120</v>
      </c>
      <c r="W82" s="2" t="s">
        <v>628</v>
      </c>
      <c r="X82" s="2" t="s">
        <v>954</v>
      </c>
      <c r="Y82" s="2" t="s">
        <v>1231</v>
      </c>
      <c r="Z82" s="2" t="s">
        <v>1232</v>
      </c>
      <c r="AB82" s="2" t="b">
        <v>0</v>
      </c>
      <c r="AC82" s="2" t="s">
        <v>655</v>
      </c>
      <c r="AD82" s="2" t="s">
        <v>1233</v>
      </c>
      <c r="AE82" s="2" t="s">
        <v>1233</v>
      </c>
      <c r="AF82" s="2" t="s">
        <v>601</v>
      </c>
      <c r="AG82" s="51" t="s">
        <v>1223</v>
      </c>
      <c r="AH82" s="3">
        <v>45971.334007013887</v>
      </c>
      <c r="AI82" s="3">
        <v>45975.853914421299</v>
      </c>
      <c r="AL82" s="3" t="s">
        <v>47</v>
      </c>
      <c r="AS82">
        <v>0</v>
      </c>
      <c r="AT82">
        <v>0</v>
      </c>
      <c r="AU82" t="s">
        <v>923</v>
      </c>
      <c r="AV82" t="s">
        <v>924</v>
      </c>
      <c r="AW82" t="s">
        <v>1224</v>
      </c>
      <c r="AX82" t="s">
        <v>937</v>
      </c>
    </row>
    <row r="83" spans="1:50">
      <c r="A83" s="2" t="s">
        <v>1234</v>
      </c>
      <c r="B83" s="2" t="s">
        <v>1235</v>
      </c>
      <c r="C83" s="2" t="s">
        <v>1128</v>
      </c>
      <c r="D83" s="2" t="s">
        <v>1129</v>
      </c>
      <c r="E83" s="2" t="s">
        <v>1130</v>
      </c>
      <c r="F83" s="2" t="s">
        <v>1236</v>
      </c>
      <c r="G83" s="2" t="s">
        <v>1237</v>
      </c>
      <c r="H83" s="2" t="s">
        <v>1238</v>
      </c>
      <c r="I83" s="2" t="s">
        <v>608</v>
      </c>
      <c r="J83" s="2" t="s">
        <v>623</v>
      </c>
      <c r="K83" s="2" t="s">
        <v>624</v>
      </c>
      <c r="L83" s="2" t="b">
        <v>0</v>
      </c>
      <c r="N83" s="2" t="s">
        <v>1239</v>
      </c>
      <c r="Q83" s="2">
        <v>141324.59375</v>
      </c>
      <c r="R83" s="6">
        <v>115.12500001157407</v>
      </c>
      <c r="S83" s="5">
        <v>45693.651980023147</v>
      </c>
      <c r="T83" s="5">
        <v>54789.541666666664</v>
      </c>
      <c r="U83" s="2" t="s">
        <v>610</v>
      </c>
      <c r="V83" s="2">
        <v>120</v>
      </c>
      <c r="W83" s="2" t="s">
        <v>628</v>
      </c>
      <c r="X83" s="2" t="s">
        <v>954</v>
      </c>
      <c r="Y83" s="2" t="s">
        <v>1240</v>
      </c>
      <c r="Z83" s="2" t="s">
        <v>1241</v>
      </c>
      <c r="AB83" s="2" t="b">
        <v>0</v>
      </c>
      <c r="AC83" s="2" t="s">
        <v>655</v>
      </c>
      <c r="AD83" s="2" t="s">
        <v>1242</v>
      </c>
      <c r="AE83" s="2" t="s">
        <v>1242</v>
      </c>
      <c r="AF83" s="2" t="s">
        <v>601</v>
      </c>
      <c r="AG83" s="51" t="s">
        <v>1223</v>
      </c>
      <c r="AH83" s="3">
        <v>45975.731946817126</v>
      </c>
      <c r="AI83" s="3">
        <v>45975.858416724535</v>
      </c>
      <c r="AL83" s="3" t="s">
        <v>47</v>
      </c>
      <c r="AS83">
        <v>0</v>
      </c>
      <c r="AT83">
        <v>0</v>
      </c>
      <c r="AU83" t="s">
        <v>923</v>
      </c>
      <c r="AV83" t="s">
        <v>924</v>
      </c>
      <c r="AW83" t="s">
        <v>1224</v>
      </c>
      <c r="AX83" t="s">
        <v>937</v>
      </c>
    </row>
    <row r="84" spans="1:50">
      <c r="A84" s="2" t="s">
        <v>1243</v>
      </c>
      <c r="B84" s="2" t="s">
        <v>1244</v>
      </c>
      <c r="C84" s="2" t="s">
        <v>1245</v>
      </c>
      <c r="D84" s="2" t="s">
        <v>1246</v>
      </c>
      <c r="E84" s="2" t="s">
        <v>1247</v>
      </c>
      <c r="I84" s="2" t="s">
        <v>608</v>
      </c>
      <c r="L84" s="2" t="b">
        <v>0</v>
      </c>
      <c r="Q84" s="2">
        <v>120308</v>
      </c>
      <c r="R84" s="6">
        <v>0</v>
      </c>
      <c r="S84" s="5">
        <v>45805.519464027777</v>
      </c>
      <c r="T84" s="5">
        <v>54789.541666666664</v>
      </c>
      <c r="U84" s="2" t="s">
        <v>638</v>
      </c>
      <c r="V84" s="2">
        <v>-1</v>
      </c>
      <c r="Z84" s="2" t="s">
        <v>1248</v>
      </c>
      <c r="AB84" s="2" t="b">
        <v>0</v>
      </c>
      <c r="AC84" s="2" t="s">
        <v>639</v>
      </c>
      <c r="AD84" s="2" t="s">
        <v>1249</v>
      </c>
      <c r="AF84" s="2" t="s">
        <v>615</v>
      </c>
      <c r="AG84" s="51" t="s">
        <v>1250</v>
      </c>
      <c r="AS84">
        <v>0</v>
      </c>
      <c r="AT84">
        <v>0</v>
      </c>
      <c r="AU84" t="s">
        <v>923</v>
      </c>
      <c r="AV84" t="s">
        <v>924</v>
      </c>
      <c r="AW84" t="s">
        <v>1224</v>
      </c>
      <c r="AX84" t="s">
        <v>937</v>
      </c>
    </row>
    <row r="85" spans="1:50">
      <c r="A85" s="2" t="s">
        <v>1251</v>
      </c>
      <c r="B85" s="2" t="s">
        <v>1252</v>
      </c>
      <c r="C85" s="2" t="s">
        <v>1253</v>
      </c>
      <c r="D85" s="2" t="s">
        <v>1254</v>
      </c>
      <c r="E85" s="2" t="s">
        <v>1255</v>
      </c>
      <c r="F85" s="2" t="s">
        <v>1035</v>
      </c>
      <c r="G85" s="2" t="s">
        <v>1256</v>
      </c>
      <c r="H85" s="2" t="s">
        <v>1257</v>
      </c>
      <c r="I85" s="2" t="s">
        <v>608</v>
      </c>
      <c r="J85" s="2" t="s">
        <v>623</v>
      </c>
      <c r="K85" s="2" t="s">
        <v>624</v>
      </c>
      <c r="L85" s="2" t="b">
        <v>0</v>
      </c>
      <c r="N85" s="2" t="s">
        <v>1258</v>
      </c>
      <c r="Q85" s="2">
        <v>153736.59375</v>
      </c>
      <c r="R85" s="6">
        <v>112.66249999999999</v>
      </c>
      <c r="S85" s="5">
        <v>45712.512106817128</v>
      </c>
      <c r="T85" s="5">
        <v>54789.541666666664</v>
      </c>
      <c r="U85" s="2" t="s">
        <v>610</v>
      </c>
      <c r="V85" s="2">
        <v>120</v>
      </c>
      <c r="W85" s="2" t="s">
        <v>628</v>
      </c>
      <c r="X85" s="2" t="s">
        <v>629</v>
      </c>
      <c r="Y85" s="2" t="s">
        <v>1259</v>
      </c>
      <c r="Z85" s="2" t="s">
        <v>1260</v>
      </c>
      <c r="AB85" s="2" t="b">
        <v>0</v>
      </c>
      <c r="AC85" s="2" t="s">
        <v>655</v>
      </c>
      <c r="AD85" s="2" t="s">
        <v>1261</v>
      </c>
      <c r="AE85" s="2" t="s">
        <v>1261</v>
      </c>
      <c r="AF85" s="2" t="s">
        <v>601</v>
      </c>
      <c r="AG85" s="51" t="s">
        <v>1262</v>
      </c>
      <c r="AH85" s="3">
        <v>45975.781138472223</v>
      </c>
      <c r="AI85" s="3">
        <v>45975.845131527778</v>
      </c>
      <c r="AL85" s="3" t="s">
        <v>47</v>
      </c>
      <c r="AS85">
        <v>0</v>
      </c>
      <c r="AT85">
        <v>0</v>
      </c>
      <c r="AU85" t="s">
        <v>923</v>
      </c>
      <c r="AV85" t="s">
        <v>924</v>
      </c>
      <c r="AW85" t="s">
        <v>1224</v>
      </c>
      <c r="AX85" t="s">
        <v>937</v>
      </c>
    </row>
    <row r="86" spans="1:50">
      <c r="A86" s="2" t="s">
        <v>1263</v>
      </c>
      <c r="B86" s="2" t="s">
        <v>1264</v>
      </c>
      <c r="C86" s="2" t="s">
        <v>1142</v>
      </c>
      <c r="D86" s="2" t="s">
        <v>1143</v>
      </c>
      <c r="E86" s="2" t="s">
        <v>1144</v>
      </c>
      <c r="F86" s="2" t="s">
        <v>1265</v>
      </c>
      <c r="G86" s="2" t="s">
        <v>1266</v>
      </c>
      <c r="H86" s="2" t="s">
        <v>1267</v>
      </c>
      <c r="I86" s="2" t="s">
        <v>608</v>
      </c>
      <c r="J86" s="2" t="s">
        <v>623</v>
      </c>
      <c r="K86" s="2" t="s">
        <v>624</v>
      </c>
      <c r="L86" s="2" t="b">
        <v>0</v>
      </c>
      <c r="M86" s="2" t="s">
        <v>761</v>
      </c>
      <c r="N86" s="2" t="s">
        <v>762</v>
      </c>
      <c r="O86" s="2" t="s">
        <v>763</v>
      </c>
      <c r="Q86" s="2">
        <v>96140.203125</v>
      </c>
      <c r="R86" s="6">
        <v>69.312500023148147</v>
      </c>
      <c r="S86" s="5">
        <v>45782.951221504627</v>
      </c>
      <c r="T86" s="5">
        <v>54789.541666666664</v>
      </c>
      <c r="U86" s="2" t="s">
        <v>610</v>
      </c>
      <c r="V86" s="2">
        <v>120</v>
      </c>
      <c r="W86" s="2" t="s">
        <v>917</v>
      </c>
      <c r="X86" s="2" t="s">
        <v>918</v>
      </c>
      <c r="Y86" s="2" t="s">
        <v>1268</v>
      </c>
      <c r="Z86" s="2" t="s">
        <v>1269</v>
      </c>
      <c r="AB86" s="2" t="b">
        <v>0</v>
      </c>
      <c r="AC86" s="2" t="s">
        <v>655</v>
      </c>
      <c r="AD86" s="2" t="s">
        <v>1270</v>
      </c>
      <c r="AE86" s="2" t="s">
        <v>1270</v>
      </c>
      <c r="AF86" s="2" t="s">
        <v>601</v>
      </c>
      <c r="AG86" s="51" t="s">
        <v>1223</v>
      </c>
      <c r="AH86" s="3">
        <v>45975.785607210652</v>
      </c>
      <c r="AI86" s="3">
        <v>45975.849611840276</v>
      </c>
      <c r="AL86" s="3" t="s">
        <v>47</v>
      </c>
      <c r="AS86">
        <v>0</v>
      </c>
      <c r="AT86">
        <v>0</v>
      </c>
      <c r="AU86" t="s">
        <v>923</v>
      </c>
      <c r="AV86" t="s">
        <v>924</v>
      </c>
      <c r="AW86" t="s">
        <v>1224</v>
      </c>
      <c r="AX86" t="s">
        <v>937</v>
      </c>
    </row>
    <row r="87" spans="1:50">
      <c r="A87" s="2" t="s">
        <v>1271</v>
      </c>
      <c r="B87" s="2" t="s">
        <v>1272</v>
      </c>
      <c r="C87" s="2" t="s">
        <v>1142</v>
      </c>
      <c r="D87" s="2" t="s">
        <v>1143</v>
      </c>
      <c r="E87" s="2" t="s">
        <v>1144</v>
      </c>
      <c r="F87" s="2" t="s">
        <v>1273</v>
      </c>
      <c r="G87" s="2" t="s">
        <v>1274</v>
      </c>
      <c r="H87" s="2" t="s">
        <v>1275</v>
      </c>
      <c r="I87" s="2" t="s">
        <v>608</v>
      </c>
      <c r="J87" s="2" t="s">
        <v>623</v>
      </c>
      <c r="K87" s="2" t="s">
        <v>624</v>
      </c>
      <c r="L87" s="2" t="b">
        <v>0</v>
      </c>
      <c r="N87" s="2" t="s">
        <v>1276</v>
      </c>
      <c r="Q87" s="2">
        <v>95485.5</v>
      </c>
      <c r="R87" s="6">
        <v>70.55833334490741</v>
      </c>
      <c r="S87" s="5">
        <v>45711.904818263887</v>
      </c>
      <c r="T87" s="5">
        <v>54789.541666666664</v>
      </c>
      <c r="U87" s="2" t="s">
        <v>610</v>
      </c>
      <c r="V87" s="2">
        <v>120</v>
      </c>
      <c r="W87" s="2" t="s">
        <v>628</v>
      </c>
      <c r="X87" s="2" t="s">
        <v>629</v>
      </c>
      <c r="Y87" s="2" t="s">
        <v>1277</v>
      </c>
      <c r="Z87" s="2" t="s">
        <v>1278</v>
      </c>
      <c r="AB87" s="2" t="b">
        <v>0</v>
      </c>
      <c r="AC87" s="2" t="s">
        <v>655</v>
      </c>
      <c r="AD87" s="2" t="s">
        <v>1279</v>
      </c>
      <c r="AE87" s="2" t="s">
        <v>1279</v>
      </c>
      <c r="AF87" s="2" t="s">
        <v>601</v>
      </c>
      <c r="AG87" s="51" t="s">
        <v>1223</v>
      </c>
      <c r="AH87" s="3">
        <v>45975.680034583333</v>
      </c>
      <c r="AI87" s="3">
        <v>45975.848587824075</v>
      </c>
      <c r="AL87" s="3" t="s">
        <v>47</v>
      </c>
      <c r="AS87">
        <v>0</v>
      </c>
      <c r="AT87">
        <v>0</v>
      </c>
      <c r="AU87" t="s">
        <v>923</v>
      </c>
      <c r="AV87" t="s">
        <v>924</v>
      </c>
      <c r="AW87" t="s">
        <v>1224</v>
      </c>
      <c r="AX87" t="s">
        <v>937</v>
      </c>
    </row>
    <row r="88" spans="1:50">
      <c r="A88" s="2" t="s">
        <v>1280</v>
      </c>
      <c r="B88" s="2" t="s">
        <v>1281</v>
      </c>
      <c r="C88" s="2" t="s">
        <v>902</v>
      </c>
      <c r="D88" s="2" t="s">
        <v>903</v>
      </c>
      <c r="E88" s="2" t="s">
        <v>904</v>
      </c>
      <c r="I88" s="2" t="s">
        <v>608</v>
      </c>
      <c r="J88" s="2" t="s">
        <v>623</v>
      </c>
      <c r="K88" s="2" t="s">
        <v>624</v>
      </c>
      <c r="L88" s="2" t="b">
        <v>0</v>
      </c>
      <c r="N88" s="2" t="s">
        <v>1282</v>
      </c>
      <c r="Q88" s="2">
        <v>96237.296875</v>
      </c>
      <c r="R88" s="6">
        <v>10.950197314814815</v>
      </c>
      <c r="S88" s="5">
        <v>45721.967924988428</v>
      </c>
      <c r="T88" s="5">
        <v>54789.541666666664</v>
      </c>
      <c r="U88" s="2" t="s">
        <v>610</v>
      </c>
      <c r="V88" s="2">
        <v>120</v>
      </c>
      <c r="W88" s="2" t="s">
        <v>628</v>
      </c>
      <c r="X88" s="2" t="s">
        <v>629</v>
      </c>
      <c r="Y88" s="2" t="s">
        <v>1283</v>
      </c>
      <c r="Z88" s="2" t="s">
        <v>1284</v>
      </c>
      <c r="AB88" s="2" t="b">
        <v>0</v>
      </c>
      <c r="AC88" s="2" t="s">
        <v>655</v>
      </c>
      <c r="AD88" s="2" t="s">
        <v>1285</v>
      </c>
      <c r="AE88" s="2" t="s">
        <v>1285</v>
      </c>
      <c r="AF88" s="2" t="s">
        <v>601</v>
      </c>
      <c r="AG88" s="51" t="s">
        <v>1286</v>
      </c>
      <c r="AH88" s="3">
        <v>45975.703202870369</v>
      </c>
      <c r="AI88" s="3">
        <v>45975.850274629629</v>
      </c>
      <c r="AL88" s="3" t="s">
        <v>47</v>
      </c>
      <c r="AS88">
        <v>0</v>
      </c>
      <c r="AT88">
        <v>0</v>
      </c>
      <c r="AU88" t="s">
        <v>897</v>
      </c>
      <c r="AV88" t="s">
        <v>1287</v>
      </c>
      <c r="AX88" t="s">
        <v>1288</v>
      </c>
    </row>
    <row r="89" spans="1:50">
      <c r="A89" s="2" t="s">
        <v>1289</v>
      </c>
      <c r="B89" s="2" t="s">
        <v>1290</v>
      </c>
      <c r="C89" s="2" t="s">
        <v>902</v>
      </c>
      <c r="D89" s="2" t="s">
        <v>903</v>
      </c>
      <c r="E89" s="2" t="s">
        <v>904</v>
      </c>
      <c r="I89" s="2" t="s">
        <v>608</v>
      </c>
      <c r="J89" s="2" t="s">
        <v>623</v>
      </c>
      <c r="K89" s="2" t="s">
        <v>624</v>
      </c>
      <c r="L89" s="2" t="b">
        <v>0</v>
      </c>
      <c r="N89" s="2" t="s">
        <v>1291</v>
      </c>
      <c r="Q89" s="2">
        <v>138673.40625</v>
      </c>
      <c r="R89" s="6">
        <v>16.241529930555554</v>
      </c>
      <c r="S89" s="5">
        <v>45807.562369039355</v>
      </c>
      <c r="T89" s="5">
        <v>54789.541666666664</v>
      </c>
      <c r="U89" s="2" t="s">
        <v>610</v>
      </c>
      <c r="V89" s="2">
        <v>120</v>
      </c>
      <c r="W89" s="2" t="s">
        <v>628</v>
      </c>
      <c r="X89" s="2" t="s">
        <v>629</v>
      </c>
      <c r="Y89" s="2" t="s">
        <v>1292</v>
      </c>
      <c r="Z89" s="2" t="s">
        <v>1293</v>
      </c>
      <c r="AB89" s="2" t="b">
        <v>0</v>
      </c>
      <c r="AC89" s="2" t="s">
        <v>655</v>
      </c>
      <c r="AD89" s="2" t="s">
        <v>1294</v>
      </c>
      <c r="AE89" s="2" t="s">
        <v>1294</v>
      </c>
      <c r="AF89" s="2" t="s">
        <v>601</v>
      </c>
      <c r="AG89" s="51" t="s">
        <v>1286</v>
      </c>
      <c r="AH89" s="3">
        <v>45975.85039219907</v>
      </c>
      <c r="AI89" s="3">
        <v>45975.850658402778</v>
      </c>
      <c r="AL89" s="3" t="s">
        <v>47</v>
      </c>
      <c r="AS89">
        <v>0</v>
      </c>
      <c r="AT89">
        <v>0</v>
      </c>
      <c r="AU89" t="s">
        <v>897</v>
      </c>
      <c r="AV89" t="s">
        <v>1287</v>
      </c>
      <c r="AX89" t="s">
        <v>1288</v>
      </c>
    </row>
    <row r="90" spans="1:50">
      <c r="A90" s="2" t="s">
        <v>1295</v>
      </c>
      <c r="B90" s="2" t="s">
        <v>1296</v>
      </c>
      <c r="C90" s="2" t="s">
        <v>1089</v>
      </c>
      <c r="D90" s="2" t="s">
        <v>1090</v>
      </c>
      <c r="E90" s="2" t="s">
        <v>1091</v>
      </c>
      <c r="F90" s="2" t="s">
        <v>21</v>
      </c>
      <c r="G90" s="2" t="s">
        <v>1297</v>
      </c>
      <c r="H90" s="2" t="s">
        <v>1298</v>
      </c>
      <c r="I90" s="2" t="s">
        <v>608</v>
      </c>
      <c r="J90" s="2" t="s">
        <v>623</v>
      </c>
      <c r="K90" s="2" t="s">
        <v>624</v>
      </c>
      <c r="L90" s="2" t="b">
        <v>0</v>
      </c>
      <c r="N90" s="2" t="s">
        <v>1299</v>
      </c>
      <c r="Q90" s="2">
        <v>95277.8984375</v>
      </c>
      <c r="R90" s="6">
        <v>12.376934178240742</v>
      </c>
      <c r="S90" s="5">
        <v>45782.95171710648</v>
      </c>
      <c r="T90" s="5">
        <v>54789.541666666664</v>
      </c>
      <c r="U90" s="2" t="s">
        <v>610</v>
      </c>
      <c r="V90" s="2">
        <v>120</v>
      </c>
      <c r="W90" s="2" t="s">
        <v>628</v>
      </c>
      <c r="X90" s="2" t="s">
        <v>629</v>
      </c>
      <c r="Y90" s="2" t="s">
        <v>1300</v>
      </c>
      <c r="Z90" s="2" t="s">
        <v>1301</v>
      </c>
      <c r="AB90" s="2" t="b">
        <v>0</v>
      </c>
      <c r="AC90" s="2" t="s">
        <v>655</v>
      </c>
      <c r="AD90" s="2" t="s">
        <v>1302</v>
      </c>
      <c r="AE90" s="2" t="s">
        <v>1302</v>
      </c>
      <c r="AF90" s="2" t="s">
        <v>601</v>
      </c>
      <c r="AG90" s="51" t="s">
        <v>1286</v>
      </c>
      <c r="AH90" s="3">
        <v>45975.483533877312</v>
      </c>
      <c r="AI90" s="3">
        <v>45975.85973758102</v>
      </c>
      <c r="AL90" s="3" t="s">
        <v>47</v>
      </c>
      <c r="AS90">
        <v>0</v>
      </c>
      <c r="AT90">
        <v>0</v>
      </c>
      <c r="AU90" t="s">
        <v>897</v>
      </c>
      <c r="AV90" t="s">
        <v>1287</v>
      </c>
      <c r="AX90" t="s">
        <v>1288</v>
      </c>
    </row>
    <row r="91" spans="1:50">
      <c r="A91" s="2" t="s">
        <v>1303</v>
      </c>
      <c r="B91" s="2" t="s">
        <v>1304</v>
      </c>
      <c r="C91" s="2" t="s">
        <v>1089</v>
      </c>
      <c r="D91" s="2" t="s">
        <v>1090</v>
      </c>
      <c r="E91" s="2" t="s">
        <v>1091</v>
      </c>
      <c r="F91" s="2" t="s">
        <v>1305</v>
      </c>
      <c r="G91" s="2" t="s">
        <v>1306</v>
      </c>
      <c r="H91" s="2" t="s">
        <v>1307</v>
      </c>
      <c r="I91" s="2" t="s">
        <v>608</v>
      </c>
      <c r="J91" s="2" t="s">
        <v>623</v>
      </c>
      <c r="K91" s="2" t="s">
        <v>624</v>
      </c>
      <c r="L91" s="2" t="b">
        <v>0</v>
      </c>
      <c r="N91" s="2" t="s">
        <v>1308</v>
      </c>
      <c r="Q91" s="2">
        <v>97587.3984375</v>
      </c>
      <c r="R91" s="6">
        <v>7.4526515509259257</v>
      </c>
      <c r="S91" s="5">
        <v>45782.952524722219</v>
      </c>
      <c r="T91" s="5">
        <v>54789.541666666664</v>
      </c>
      <c r="U91" s="2" t="s">
        <v>610</v>
      </c>
      <c r="V91" s="2">
        <v>120</v>
      </c>
      <c r="W91" s="2" t="s">
        <v>628</v>
      </c>
      <c r="X91" s="2" t="s">
        <v>629</v>
      </c>
      <c r="Y91" s="2" t="s">
        <v>1309</v>
      </c>
      <c r="Z91" s="2" t="s">
        <v>1310</v>
      </c>
      <c r="AB91" s="2" t="b">
        <v>0</v>
      </c>
      <c r="AC91" s="2" t="s">
        <v>655</v>
      </c>
      <c r="AD91" s="2" t="s">
        <v>1311</v>
      </c>
      <c r="AE91" s="2" t="s">
        <v>1311</v>
      </c>
      <c r="AF91" s="2" t="s">
        <v>601</v>
      </c>
      <c r="AG91" s="51" t="s">
        <v>1286</v>
      </c>
      <c r="AH91" s="3">
        <v>45975.638564525463</v>
      </c>
      <c r="AI91" s="3">
        <v>45975.848066840277</v>
      </c>
      <c r="AL91" s="3" t="s">
        <v>47</v>
      </c>
      <c r="AS91">
        <v>0</v>
      </c>
      <c r="AT91">
        <v>0</v>
      </c>
      <c r="AU91" t="s">
        <v>897</v>
      </c>
      <c r="AV91" t="s">
        <v>1287</v>
      </c>
      <c r="AX91" t="s">
        <v>1288</v>
      </c>
    </row>
    <row r="92" spans="1:50">
      <c r="A92" s="2" t="s">
        <v>1312</v>
      </c>
      <c r="B92" s="2" t="s">
        <v>1313</v>
      </c>
      <c r="C92" s="2" t="s">
        <v>902</v>
      </c>
      <c r="D92" s="2" t="s">
        <v>903</v>
      </c>
      <c r="E92" s="2" t="s">
        <v>904</v>
      </c>
      <c r="F92" s="2" t="s">
        <v>1314</v>
      </c>
      <c r="G92" s="2" t="s">
        <v>1315</v>
      </c>
      <c r="H92" s="2" t="s">
        <v>1316</v>
      </c>
      <c r="I92" s="2" t="s">
        <v>608</v>
      </c>
      <c r="J92" s="2" t="s">
        <v>623</v>
      </c>
      <c r="K92" s="2" t="s">
        <v>624</v>
      </c>
      <c r="L92" s="2" t="b">
        <v>0</v>
      </c>
      <c r="M92" s="2" t="s">
        <v>715</v>
      </c>
      <c r="N92" s="2" t="s">
        <v>1317</v>
      </c>
      <c r="O92" s="2" t="s">
        <v>627</v>
      </c>
      <c r="Q92" s="2">
        <v>89151.796875</v>
      </c>
      <c r="R92" s="6">
        <v>19.120092743055555</v>
      </c>
      <c r="S92" s="5">
        <v>45782.953040567132</v>
      </c>
      <c r="T92" s="5">
        <v>54789.541666666664</v>
      </c>
      <c r="U92" s="2" t="s">
        <v>610</v>
      </c>
      <c r="V92" s="2">
        <v>120</v>
      </c>
      <c r="W92" s="2" t="s">
        <v>628</v>
      </c>
      <c r="X92" s="2" t="s">
        <v>629</v>
      </c>
      <c r="Y92" s="2" t="s">
        <v>1318</v>
      </c>
      <c r="Z92" s="2" t="s">
        <v>1319</v>
      </c>
      <c r="AB92" s="2" t="b">
        <v>0</v>
      </c>
      <c r="AC92" s="2" t="s">
        <v>655</v>
      </c>
      <c r="AD92" s="2" t="s">
        <v>1320</v>
      </c>
      <c r="AE92" s="2" t="s">
        <v>1320</v>
      </c>
      <c r="AF92" s="2" t="s">
        <v>601</v>
      </c>
      <c r="AG92" s="51" t="s">
        <v>1286</v>
      </c>
      <c r="AH92" s="3">
        <v>45975.698012303241</v>
      </c>
      <c r="AI92" s="3">
        <v>45975.845130358794</v>
      </c>
      <c r="AL92" s="3" t="s">
        <v>47</v>
      </c>
      <c r="AS92">
        <v>0</v>
      </c>
      <c r="AT92">
        <v>0</v>
      </c>
      <c r="AU92" t="s">
        <v>897</v>
      </c>
      <c r="AV92" t="s">
        <v>1287</v>
      </c>
      <c r="AX92" t="s">
        <v>1288</v>
      </c>
    </row>
    <row r="93" spans="1:50">
      <c r="A93" s="2" t="s">
        <v>1321</v>
      </c>
      <c r="B93" s="2" t="s">
        <v>1322</v>
      </c>
      <c r="C93" s="2" t="s">
        <v>1001</v>
      </c>
      <c r="D93" s="2" t="s">
        <v>1002</v>
      </c>
      <c r="E93" s="2" t="s">
        <v>1003</v>
      </c>
      <c r="F93" s="2" t="s">
        <v>1323</v>
      </c>
      <c r="G93" s="2" t="s">
        <v>1324</v>
      </c>
      <c r="H93" s="2" t="s">
        <v>1325</v>
      </c>
      <c r="I93" s="2" t="s">
        <v>608</v>
      </c>
      <c r="J93" s="2" t="s">
        <v>623</v>
      </c>
      <c r="K93" s="2" t="s">
        <v>624</v>
      </c>
      <c r="L93" s="2" t="b">
        <v>0</v>
      </c>
      <c r="N93" s="2" t="s">
        <v>1326</v>
      </c>
      <c r="Q93" s="2">
        <v>151185</v>
      </c>
      <c r="R93" s="6">
        <v>20.8181790625</v>
      </c>
      <c r="S93" s="5">
        <v>45716.482506898152</v>
      </c>
      <c r="T93" s="5">
        <v>54789.541666666664</v>
      </c>
      <c r="U93" s="2" t="s">
        <v>610</v>
      </c>
      <c r="V93" s="2">
        <v>120</v>
      </c>
      <c r="W93" s="2" t="s">
        <v>628</v>
      </c>
      <c r="X93" s="2" t="s">
        <v>629</v>
      </c>
      <c r="Y93" s="2" t="s">
        <v>1327</v>
      </c>
      <c r="Z93" s="2" t="s">
        <v>1328</v>
      </c>
      <c r="AB93" s="2" t="b">
        <v>0</v>
      </c>
      <c r="AC93" s="2" t="s">
        <v>655</v>
      </c>
      <c r="AD93" s="2" t="s">
        <v>1329</v>
      </c>
      <c r="AE93" s="2" t="s">
        <v>1329</v>
      </c>
      <c r="AF93" s="2" t="s">
        <v>601</v>
      </c>
      <c r="AG93" s="51" t="s">
        <v>1330</v>
      </c>
      <c r="AH93" s="3">
        <v>45975.698222222221</v>
      </c>
      <c r="AI93" s="3">
        <v>45975.845548611112</v>
      </c>
      <c r="AL93" s="3" t="s">
        <v>47</v>
      </c>
      <c r="AS93">
        <v>0</v>
      </c>
      <c r="AT93">
        <v>0</v>
      </c>
      <c r="AU93" t="s">
        <v>897</v>
      </c>
      <c r="AV93" t="s">
        <v>1287</v>
      </c>
      <c r="AX93" t="s">
        <v>1288</v>
      </c>
    </row>
    <row r="94" spans="1:50">
      <c r="A94" s="2" t="s">
        <v>1331</v>
      </c>
      <c r="B94" s="2" t="s">
        <v>1332</v>
      </c>
      <c r="C94" s="2" t="s">
        <v>890</v>
      </c>
      <c r="D94" s="2" t="s">
        <v>891</v>
      </c>
      <c r="E94" s="2" t="s">
        <v>892</v>
      </c>
      <c r="F94" s="2" t="s">
        <v>1333</v>
      </c>
      <c r="G94" s="2" t="s">
        <v>1334</v>
      </c>
      <c r="H94" s="2" t="s">
        <v>1335</v>
      </c>
      <c r="I94" s="2" t="s">
        <v>608</v>
      </c>
      <c r="J94" s="2" t="s">
        <v>623</v>
      </c>
      <c r="K94" s="2" t="s">
        <v>624</v>
      </c>
      <c r="L94" s="2" t="b">
        <v>0</v>
      </c>
      <c r="N94" s="2" t="s">
        <v>1291</v>
      </c>
      <c r="Q94" s="2">
        <v>320792.59375</v>
      </c>
      <c r="R94" s="6">
        <v>12.484961296296296</v>
      </c>
      <c r="S94" s="5">
        <v>45807.562050289351</v>
      </c>
      <c r="T94" s="5">
        <v>54789.541666666664</v>
      </c>
      <c r="U94" s="2" t="s">
        <v>610</v>
      </c>
      <c r="V94" s="2">
        <v>120</v>
      </c>
      <c r="W94" s="2" t="s">
        <v>628</v>
      </c>
      <c r="X94" s="2" t="s">
        <v>629</v>
      </c>
      <c r="Y94" s="2" t="s">
        <v>1336</v>
      </c>
      <c r="Z94" s="2" t="s">
        <v>1337</v>
      </c>
      <c r="AB94" s="2" t="b">
        <v>0</v>
      </c>
      <c r="AC94" s="2" t="s">
        <v>655</v>
      </c>
      <c r="AE94" s="58" t="s">
        <v>632</v>
      </c>
      <c r="AF94" s="2" t="s">
        <v>601</v>
      </c>
      <c r="AG94" s="51" t="s">
        <v>1338</v>
      </c>
      <c r="AH94" s="3">
        <v>45975.708879363425</v>
      </c>
      <c r="AI94" s="3">
        <v>45975.856124733793</v>
      </c>
      <c r="AL94" s="3" t="s">
        <v>47</v>
      </c>
      <c r="AS94">
        <v>0</v>
      </c>
      <c r="AT94">
        <v>0</v>
      </c>
      <c r="AX94" t="s">
        <v>618</v>
      </c>
    </row>
    <row r="95" spans="1:50">
      <c r="A95" s="2" t="s">
        <v>1339</v>
      </c>
      <c r="B95" s="2" t="s">
        <v>1340</v>
      </c>
      <c r="C95" s="2" t="s">
        <v>1341</v>
      </c>
      <c r="D95" s="2" t="s">
        <v>1342</v>
      </c>
      <c r="E95" s="2" t="s">
        <v>1343</v>
      </c>
      <c r="F95" s="2" t="s">
        <v>1344</v>
      </c>
      <c r="G95" s="2" t="s">
        <v>1345</v>
      </c>
      <c r="H95" s="2" t="s">
        <v>1346</v>
      </c>
      <c r="I95" s="2" t="s">
        <v>608</v>
      </c>
      <c r="J95" s="2" t="s">
        <v>623</v>
      </c>
      <c r="K95" s="2" t="s">
        <v>624</v>
      </c>
      <c r="L95" s="2" t="b">
        <v>0</v>
      </c>
      <c r="N95" s="2" t="s">
        <v>1347</v>
      </c>
      <c r="Q95" s="2">
        <v>49620.27734375</v>
      </c>
      <c r="R95" s="6">
        <v>25.753804837962964</v>
      </c>
      <c r="S95" s="5">
        <v>45782.953469131942</v>
      </c>
      <c r="T95" s="5">
        <v>54789.541666666664</v>
      </c>
      <c r="U95" s="2" t="s">
        <v>610</v>
      </c>
      <c r="V95" s="2">
        <v>120</v>
      </c>
      <c r="W95" s="2" t="s">
        <v>917</v>
      </c>
      <c r="X95" s="2" t="s">
        <v>918</v>
      </c>
      <c r="Y95" s="2" t="s">
        <v>1348</v>
      </c>
      <c r="Z95" s="2" t="s">
        <v>1349</v>
      </c>
      <c r="AB95" s="2" t="b">
        <v>0</v>
      </c>
      <c r="AC95" s="2" t="s">
        <v>655</v>
      </c>
      <c r="AD95" s="2" t="s">
        <v>1350</v>
      </c>
      <c r="AE95" s="2" t="s">
        <v>1350</v>
      </c>
      <c r="AF95" s="2" t="s">
        <v>601</v>
      </c>
      <c r="AG95" s="51" t="s">
        <v>1351</v>
      </c>
      <c r="AH95" s="3">
        <v>45975.710366597224</v>
      </c>
      <c r="AI95" s="3">
        <v>45975.857322615739</v>
      </c>
      <c r="AL95" s="3" t="s">
        <v>47</v>
      </c>
      <c r="AS95">
        <v>0</v>
      </c>
      <c r="AT95">
        <v>0</v>
      </c>
      <c r="AU95" t="s">
        <v>1352</v>
      </c>
      <c r="AV95" t="s">
        <v>1353</v>
      </c>
      <c r="AW95" t="s">
        <v>1354</v>
      </c>
      <c r="AX95" t="s">
        <v>1355</v>
      </c>
    </row>
    <row r="96" spans="1:50">
      <c r="A96" s="2" t="s">
        <v>1356</v>
      </c>
      <c r="B96" s="2" t="s">
        <v>1357</v>
      </c>
      <c r="C96" s="2" t="s">
        <v>1358</v>
      </c>
      <c r="D96" s="2" t="s">
        <v>1359</v>
      </c>
      <c r="E96" s="2" t="s">
        <v>1360</v>
      </c>
      <c r="F96" s="2" t="s">
        <v>1361</v>
      </c>
      <c r="G96" s="2" t="s">
        <v>1362</v>
      </c>
      <c r="H96" s="2" t="s">
        <v>1363</v>
      </c>
      <c r="I96" s="2" t="s">
        <v>608</v>
      </c>
      <c r="J96" s="2" t="s">
        <v>623</v>
      </c>
      <c r="K96" s="2" t="s">
        <v>624</v>
      </c>
      <c r="L96" s="2" t="b">
        <v>0</v>
      </c>
      <c r="M96" s="2" t="s">
        <v>761</v>
      </c>
      <c r="N96" s="2" t="s">
        <v>762</v>
      </c>
      <c r="O96" s="2" t="s">
        <v>763</v>
      </c>
      <c r="Q96" s="2">
        <v>28001.48046875</v>
      </c>
      <c r="R96" s="6">
        <v>66.344323101851856</v>
      </c>
      <c r="S96" s="5">
        <v>45538.58242402778</v>
      </c>
      <c r="T96" s="5">
        <v>54789.541666666664</v>
      </c>
      <c r="U96" s="2" t="s">
        <v>610</v>
      </c>
      <c r="V96" s="2">
        <v>120</v>
      </c>
      <c r="W96" s="2" t="s">
        <v>628</v>
      </c>
      <c r="X96" s="2" t="s">
        <v>629</v>
      </c>
      <c r="Y96" s="2" t="s">
        <v>1364</v>
      </c>
      <c r="Z96" s="2" t="s">
        <v>1365</v>
      </c>
      <c r="AB96" s="2" t="b">
        <v>0</v>
      </c>
      <c r="AC96" s="2" t="s">
        <v>655</v>
      </c>
      <c r="AD96" s="2" t="s">
        <v>1366</v>
      </c>
      <c r="AE96" s="2" t="s">
        <v>1366</v>
      </c>
      <c r="AF96" s="2" t="s">
        <v>601</v>
      </c>
      <c r="AG96" s="51" t="s">
        <v>1351</v>
      </c>
      <c r="AH96" s="3">
        <v>45975.582037245367</v>
      </c>
      <c r="AI96" s="3">
        <v>45975.859884467594</v>
      </c>
      <c r="AL96" s="3" t="s">
        <v>47</v>
      </c>
      <c r="AS96">
        <v>0</v>
      </c>
      <c r="AT96">
        <v>0</v>
      </c>
      <c r="AU96" t="s">
        <v>1352</v>
      </c>
      <c r="AV96" t="s">
        <v>1353</v>
      </c>
      <c r="AW96" t="s">
        <v>1354</v>
      </c>
      <c r="AX96" t="s">
        <v>1355</v>
      </c>
    </row>
    <row r="97" spans="1:50">
      <c r="A97" s="2" t="s">
        <v>1367</v>
      </c>
      <c r="B97" s="2" t="s">
        <v>1368</v>
      </c>
      <c r="C97" s="2" t="s">
        <v>1369</v>
      </c>
      <c r="D97" s="2" t="s">
        <v>1370</v>
      </c>
      <c r="E97" s="2" t="s">
        <v>1371</v>
      </c>
      <c r="F97" s="2" t="s">
        <v>1372</v>
      </c>
      <c r="G97" s="2" t="s">
        <v>1373</v>
      </c>
      <c r="H97" s="2" t="s">
        <v>1374</v>
      </c>
      <c r="I97" s="2" t="s">
        <v>608</v>
      </c>
      <c r="J97" s="2" t="s">
        <v>623</v>
      </c>
      <c r="K97" s="2" t="s">
        <v>624</v>
      </c>
      <c r="L97" s="2" t="b">
        <v>0</v>
      </c>
      <c r="N97" s="2" t="s">
        <v>1375</v>
      </c>
      <c r="Q97" s="2">
        <v>32160</v>
      </c>
      <c r="R97" s="6">
        <v>4.9095937384259258</v>
      </c>
      <c r="S97" s="5">
        <v>45782.941691122687</v>
      </c>
      <c r="T97" s="5">
        <v>54789.541666666664</v>
      </c>
      <c r="U97" s="2" t="s">
        <v>610</v>
      </c>
      <c r="V97" s="2">
        <v>120</v>
      </c>
      <c r="W97" s="2" t="s">
        <v>628</v>
      </c>
      <c r="X97" s="2" t="s">
        <v>954</v>
      </c>
      <c r="Y97" s="2" t="s">
        <v>1376</v>
      </c>
      <c r="Z97" s="2" t="s">
        <v>1377</v>
      </c>
      <c r="AB97" s="2" t="b">
        <v>0</v>
      </c>
      <c r="AC97" s="2" t="s">
        <v>655</v>
      </c>
      <c r="AD97" s="2" t="s">
        <v>1378</v>
      </c>
      <c r="AE97" s="2" t="s">
        <v>1378</v>
      </c>
      <c r="AF97" s="2" t="s">
        <v>601</v>
      </c>
      <c r="AG97" s="51" t="s">
        <v>1379</v>
      </c>
      <c r="AH97" s="3">
        <v>45975.71025329861</v>
      </c>
      <c r="AI97" s="3">
        <v>45975.857348206016</v>
      </c>
      <c r="AL97" s="3" t="s">
        <v>47</v>
      </c>
      <c r="AS97">
        <v>0</v>
      </c>
      <c r="AT97">
        <v>0</v>
      </c>
      <c r="AU97" t="s">
        <v>1380</v>
      </c>
      <c r="AV97" t="s">
        <v>1381</v>
      </c>
      <c r="AW97" t="s">
        <v>1354</v>
      </c>
      <c r="AX97" t="s">
        <v>1382</v>
      </c>
    </row>
    <row r="98" spans="1:50">
      <c r="A98" s="2" t="s">
        <v>1383</v>
      </c>
      <c r="B98" s="2" t="s">
        <v>1384</v>
      </c>
      <c r="C98" s="2" t="s">
        <v>1385</v>
      </c>
      <c r="D98" s="2" t="s">
        <v>1386</v>
      </c>
      <c r="E98" s="2" t="s">
        <v>1387</v>
      </c>
      <c r="I98" s="2" t="s">
        <v>608</v>
      </c>
      <c r="J98" s="2" t="s">
        <v>623</v>
      </c>
      <c r="K98" s="2" t="s">
        <v>624</v>
      </c>
      <c r="L98" s="2" t="b">
        <v>0</v>
      </c>
      <c r="N98" s="2" t="s">
        <v>1388</v>
      </c>
      <c r="Q98" s="2">
        <v>46490.80078125</v>
      </c>
      <c r="R98" s="6">
        <v>5.0805465972222219</v>
      </c>
      <c r="S98" s="5">
        <v>45782.954315578703</v>
      </c>
      <c r="T98" s="5">
        <v>54789.541666666664</v>
      </c>
      <c r="U98" s="2" t="s">
        <v>610</v>
      </c>
      <c r="V98" s="2">
        <v>120</v>
      </c>
      <c r="W98" s="2" t="s">
        <v>628</v>
      </c>
      <c r="X98" s="2" t="s">
        <v>629</v>
      </c>
      <c r="Y98" s="2" t="s">
        <v>1389</v>
      </c>
      <c r="Z98" s="2" t="s">
        <v>1390</v>
      </c>
      <c r="AB98" s="2" t="b">
        <v>0</v>
      </c>
      <c r="AC98" s="2" t="s">
        <v>655</v>
      </c>
      <c r="AD98" s="2" t="s">
        <v>1391</v>
      </c>
      <c r="AE98" s="2" t="s">
        <v>1391</v>
      </c>
      <c r="AF98" s="2" t="s">
        <v>601</v>
      </c>
      <c r="AG98" s="51" t="s">
        <v>1392</v>
      </c>
      <c r="AH98" s="3">
        <v>45975.72285046296</v>
      </c>
      <c r="AI98" s="3">
        <v>45975.849112037038</v>
      </c>
      <c r="AL98" s="3" t="s">
        <v>47</v>
      </c>
      <c r="AS98">
        <v>500</v>
      </c>
      <c r="AT98">
        <v>0</v>
      </c>
      <c r="AU98" t="s">
        <v>1380</v>
      </c>
      <c r="AV98" t="s">
        <v>1381</v>
      </c>
      <c r="AW98" t="s">
        <v>1354</v>
      </c>
      <c r="AX98" t="s">
        <v>1382</v>
      </c>
    </row>
    <row r="99" spans="1:50">
      <c r="A99" s="2" t="s">
        <v>1393</v>
      </c>
      <c r="B99" s="2" t="s">
        <v>1394</v>
      </c>
      <c r="C99" s="2" t="s">
        <v>1369</v>
      </c>
      <c r="D99" s="2" t="s">
        <v>1370</v>
      </c>
      <c r="E99" s="2" t="s">
        <v>1371</v>
      </c>
      <c r="F99" s="2" t="s">
        <v>1395</v>
      </c>
      <c r="G99" s="2" t="s">
        <v>1396</v>
      </c>
      <c r="H99" s="2" t="s">
        <v>1397</v>
      </c>
      <c r="I99" s="2" t="s">
        <v>608</v>
      </c>
      <c r="J99" s="2" t="s">
        <v>623</v>
      </c>
      <c r="K99" s="2" t="s">
        <v>624</v>
      </c>
      <c r="L99" s="2" t="b">
        <v>0</v>
      </c>
      <c r="N99" s="2" t="s">
        <v>1398</v>
      </c>
      <c r="Q99" s="2">
        <v>71890.3984375</v>
      </c>
      <c r="R99" s="6">
        <v>8.2194779629629622</v>
      </c>
      <c r="S99" s="5">
        <v>45720.959555393521</v>
      </c>
      <c r="T99" s="5">
        <v>54789.541666666664</v>
      </c>
      <c r="U99" s="2" t="s">
        <v>610</v>
      </c>
      <c r="V99" s="2">
        <v>120</v>
      </c>
      <c r="W99" s="2" t="s">
        <v>917</v>
      </c>
      <c r="X99" s="2" t="s">
        <v>918</v>
      </c>
      <c r="Y99" s="2" t="s">
        <v>1399</v>
      </c>
      <c r="Z99" s="2" t="s">
        <v>1400</v>
      </c>
      <c r="AB99" s="2" t="b">
        <v>0</v>
      </c>
      <c r="AC99" s="2" t="s">
        <v>655</v>
      </c>
      <c r="AD99" s="2" t="s">
        <v>1401</v>
      </c>
      <c r="AE99" s="2" t="s">
        <v>1401</v>
      </c>
      <c r="AF99" s="2" t="s">
        <v>601</v>
      </c>
      <c r="AG99" s="51" t="s">
        <v>1379</v>
      </c>
      <c r="AH99" s="3">
        <v>45965.708961562501</v>
      </c>
      <c r="AI99" s="3">
        <v>45975.857699988424</v>
      </c>
      <c r="AL99" s="3" t="s">
        <v>47</v>
      </c>
      <c r="AS99">
        <v>0</v>
      </c>
      <c r="AT99">
        <v>0</v>
      </c>
      <c r="AU99" t="s">
        <v>1380</v>
      </c>
      <c r="AV99" t="s">
        <v>1381</v>
      </c>
      <c r="AW99" t="s">
        <v>1354</v>
      </c>
      <c r="AX99" t="s">
        <v>1382</v>
      </c>
    </row>
    <row r="100" spans="1:50">
      <c r="A100" s="2" t="s">
        <v>1402</v>
      </c>
      <c r="B100" s="2" t="s">
        <v>1403</v>
      </c>
      <c r="C100" s="2" t="s">
        <v>1089</v>
      </c>
      <c r="D100" s="2" t="s">
        <v>1090</v>
      </c>
      <c r="E100" s="2" t="s">
        <v>1091</v>
      </c>
      <c r="F100" s="2" t="s">
        <v>1404</v>
      </c>
      <c r="G100" s="2" t="s">
        <v>1405</v>
      </c>
      <c r="H100" s="2" t="s">
        <v>1406</v>
      </c>
      <c r="I100" s="2" t="s">
        <v>608</v>
      </c>
      <c r="J100" s="2" t="s">
        <v>623</v>
      </c>
      <c r="K100" s="2" t="s">
        <v>624</v>
      </c>
      <c r="L100" s="2" t="b">
        <v>0</v>
      </c>
      <c r="N100" s="2" t="s">
        <v>1407</v>
      </c>
      <c r="Q100" s="2">
        <v>57550</v>
      </c>
      <c r="R100" s="6">
        <v>15.32949707175926</v>
      </c>
      <c r="S100" s="5">
        <v>45723.443361909725</v>
      </c>
      <c r="T100" s="5">
        <v>54789.541666666664</v>
      </c>
      <c r="U100" s="2" t="s">
        <v>610</v>
      </c>
      <c r="V100" s="2">
        <v>120</v>
      </c>
      <c r="W100" s="2" t="s">
        <v>628</v>
      </c>
      <c r="X100" s="2" t="s">
        <v>629</v>
      </c>
      <c r="Y100" s="2" t="s">
        <v>1408</v>
      </c>
      <c r="Z100" s="2" t="s">
        <v>1409</v>
      </c>
      <c r="AB100" s="2" t="b">
        <v>0</v>
      </c>
      <c r="AC100" s="2" t="s">
        <v>655</v>
      </c>
      <c r="AD100" s="2" t="s">
        <v>1410</v>
      </c>
      <c r="AE100" s="2" t="s">
        <v>1410</v>
      </c>
      <c r="AF100" s="2" t="s">
        <v>601</v>
      </c>
      <c r="AG100" s="51" t="s">
        <v>1411</v>
      </c>
      <c r="AH100" s="3">
        <v>45975.820354814816</v>
      </c>
      <c r="AI100" s="3">
        <v>45975.842345555553</v>
      </c>
      <c r="AL100" s="3" t="s">
        <v>47</v>
      </c>
      <c r="AS100">
        <v>0</v>
      </c>
      <c r="AT100">
        <v>0</v>
      </c>
      <c r="AU100" t="s">
        <v>897</v>
      </c>
      <c r="AV100" t="s">
        <v>1287</v>
      </c>
      <c r="AX100" t="s">
        <v>1288</v>
      </c>
    </row>
    <row r="101" spans="1:50">
      <c r="A101" s="2" t="s">
        <v>1412</v>
      </c>
      <c r="B101" s="2" t="s">
        <v>1413</v>
      </c>
      <c r="C101" s="2" t="s">
        <v>1142</v>
      </c>
      <c r="D101" s="2" t="s">
        <v>1143</v>
      </c>
      <c r="E101" s="2" t="s">
        <v>1144</v>
      </c>
      <c r="F101" s="2" t="s">
        <v>1414</v>
      </c>
      <c r="G101" s="2" t="s">
        <v>1415</v>
      </c>
      <c r="H101" s="2" t="s">
        <v>1416</v>
      </c>
      <c r="I101" s="2" t="s">
        <v>608</v>
      </c>
      <c r="J101" s="2" t="s">
        <v>623</v>
      </c>
      <c r="K101" s="2" t="s">
        <v>624</v>
      </c>
      <c r="L101" s="2" t="b">
        <v>0</v>
      </c>
      <c r="N101" s="2" t="s">
        <v>1417</v>
      </c>
      <c r="Q101" s="2">
        <v>69006.5</v>
      </c>
      <c r="R101" s="6">
        <v>22.797698148148147</v>
      </c>
      <c r="S101" s="5">
        <v>45724.48674388889</v>
      </c>
      <c r="T101" s="5">
        <v>54789.541666666664</v>
      </c>
      <c r="U101" s="2" t="s">
        <v>610</v>
      </c>
      <c r="V101" s="2">
        <v>120</v>
      </c>
      <c r="W101" s="2" t="s">
        <v>628</v>
      </c>
      <c r="X101" s="2" t="s">
        <v>629</v>
      </c>
      <c r="Y101" s="2" t="s">
        <v>1418</v>
      </c>
      <c r="Z101" s="2" t="s">
        <v>1419</v>
      </c>
      <c r="AB101" s="2" t="b">
        <v>0</v>
      </c>
      <c r="AC101" s="2" t="s">
        <v>655</v>
      </c>
      <c r="AD101" s="2" t="s">
        <v>1420</v>
      </c>
      <c r="AE101" s="2" t="s">
        <v>1420</v>
      </c>
      <c r="AF101" s="2" t="s">
        <v>601</v>
      </c>
      <c r="AG101" s="51" t="s">
        <v>1411</v>
      </c>
      <c r="AH101" s="3">
        <v>45975.756082905093</v>
      </c>
      <c r="AI101" s="3">
        <v>45975.861511145835</v>
      </c>
      <c r="AL101" s="3" t="s">
        <v>47</v>
      </c>
      <c r="AS101">
        <v>0</v>
      </c>
      <c r="AT101">
        <v>0</v>
      </c>
      <c r="AU101" t="s">
        <v>897</v>
      </c>
      <c r="AV101" t="s">
        <v>1287</v>
      </c>
      <c r="AX101" t="s">
        <v>1288</v>
      </c>
    </row>
    <row r="102" spans="1:50">
      <c r="A102" s="2" t="s">
        <v>1421</v>
      </c>
      <c r="B102" s="2" t="s">
        <v>1422</v>
      </c>
      <c r="C102" s="2" t="s">
        <v>1089</v>
      </c>
      <c r="D102" s="2" t="s">
        <v>1090</v>
      </c>
      <c r="E102" s="2" t="s">
        <v>1091</v>
      </c>
      <c r="F102" s="2" t="s">
        <v>1423</v>
      </c>
      <c r="G102" s="2" t="s">
        <v>1424</v>
      </c>
      <c r="H102" s="2" t="s">
        <v>1425</v>
      </c>
      <c r="I102" s="2" t="s">
        <v>608</v>
      </c>
      <c r="J102" s="2" t="s">
        <v>623</v>
      </c>
      <c r="K102" s="2" t="s">
        <v>624</v>
      </c>
      <c r="L102" s="2" t="b">
        <v>0</v>
      </c>
      <c r="N102" s="2" t="s">
        <v>1426</v>
      </c>
      <c r="Q102" s="2">
        <v>42092.5</v>
      </c>
      <c r="R102" s="6">
        <v>14.249687164351851</v>
      </c>
      <c r="S102" s="5">
        <v>45724.47924872685</v>
      </c>
      <c r="T102" s="5">
        <v>54789.541666666664</v>
      </c>
      <c r="U102" s="2" t="s">
        <v>610</v>
      </c>
      <c r="V102" s="2">
        <v>120</v>
      </c>
      <c r="W102" s="2" t="s">
        <v>628</v>
      </c>
      <c r="X102" s="2" t="s">
        <v>629</v>
      </c>
      <c r="Y102" s="2" t="s">
        <v>1427</v>
      </c>
      <c r="Z102" s="2" t="s">
        <v>1428</v>
      </c>
      <c r="AB102" s="2" t="b">
        <v>0</v>
      </c>
      <c r="AC102" s="2" t="s">
        <v>655</v>
      </c>
      <c r="AD102" s="2" t="s">
        <v>1429</v>
      </c>
      <c r="AE102" s="2" t="s">
        <v>1429</v>
      </c>
      <c r="AF102" s="2" t="s">
        <v>601</v>
      </c>
      <c r="AG102" s="51" t="s">
        <v>1411</v>
      </c>
      <c r="AH102" s="3">
        <v>45975.666830231479</v>
      </c>
      <c r="AI102" s="3">
        <v>45975.855753842596</v>
      </c>
      <c r="AL102" s="3" t="s">
        <v>47</v>
      </c>
      <c r="AS102">
        <v>0</v>
      </c>
      <c r="AT102">
        <v>0</v>
      </c>
      <c r="AU102" t="s">
        <v>897</v>
      </c>
      <c r="AV102" t="s">
        <v>1287</v>
      </c>
      <c r="AX102" t="s">
        <v>1288</v>
      </c>
    </row>
    <row r="103" spans="1:50">
      <c r="A103" s="2" t="s">
        <v>1430</v>
      </c>
      <c r="B103" s="2" t="s">
        <v>1431</v>
      </c>
      <c r="C103" s="2" t="s">
        <v>1142</v>
      </c>
      <c r="D103" s="2" t="s">
        <v>1143</v>
      </c>
      <c r="E103" s="2" t="s">
        <v>1144</v>
      </c>
      <c r="F103" s="2" t="s">
        <v>1173</v>
      </c>
      <c r="G103" s="2" t="s">
        <v>1432</v>
      </c>
      <c r="H103" s="2" t="s">
        <v>1433</v>
      </c>
      <c r="I103" s="2" t="s">
        <v>608</v>
      </c>
      <c r="J103" s="2" t="s">
        <v>623</v>
      </c>
      <c r="K103" s="2" t="s">
        <v>624</v>
      </c>
      <c r="L103" s="2" t="b">
        <v>0</v>
      </c>
      <c r="N103" s="2" t="s">
        <v>1434</v>
      </c>
      <c r="Q103" s="2">
        <v>50947.1015625</v>
      </c>
      <c r="R103" s="6">
        <v>17.012056932870369</v>
      </c>
      <c r="S103" s="5">
        <v>45722.461458298611</v>
      </c>
      <c r="T103" s="5">
        <v>54789.541666666664</v>
      </c>
      <c r="U103" s="2" t="s">
        <v>610</v>
      </c>
      <c r="V103" s="2">
        <v>120</v>
      </c>
      <c r="W103" s="2" t="s">
        <v>628</v>
      </c>
      <c r="X103" s="2" t="s">
        <v>629</v>
      </c>
      <c r="Y103" s="2" t="s">
        <v>1435</v>
      </c>
      <c r="Z103" s="2" t="s">
        <v>1436</v>
      </c>
      <c r="AB103" s="2" t="b">
        <v>0</v>
      </c>
      <c r="AC103" s="2" t="s">
        <v>655</v>
      </c>
      <c r="AD103" s="2" t="s">
        <v>1437</v>
      </c>
      <c r="AE103" s="2" t="s">
        <v>1437</v>
      </c>
      <c r="AF103" s="2" t="s">
        <v>601</v>
      </c>
      <c r="AG103" s="51" t="s">
        <v>1411</v>
      </c>
      <c r="AH103" s="3">
        <v>45975.593699537036</v>
      </c>
      <c r="AI103" s="3">
        <v>45975.844961111114</v>
      </c>
      <c r="AL103" s="3" t="s">
        <v>47</v>
      </c>
      <c r="AS103">
        <v>0</v>
      </c>
      <c r="AT103">
        <v>0</v>
      </c>
      <c r="AU103" t="s">
        <v>897</v>
      </c>
      <c r="AV103" t="s">
        <v>1287</v>
      </c>
      <c r="AX103" t="s">
        <v>1288</v>
      </c>
    </row>
    <row r="104" spans="1:50">
      <c r="A104" s="2" t="s">
        <v>1438</v>
      </c>
      <c r="B104" s="2" t="s">
        <v>1439</v>
      </c>
      <c r="C104" s="2" t="s">
        <v>1369</v>
      </c>
      <c r="D104" s="2" t="s">
        <v>1370</v>
      </c>
      <c r="E104" s="2" t="s">
        <v>1371</v>
      </c>
      <c r="F104" s="2" t="s">
        <v>1440</v>
      </c>
      <c r="G104" s="2" t="s">
        <v>1441</v>
      </c>
      <c r="H104" s="2" t="s">
        <v>1442</v>
      </c>
      <c r="I104" s="2" t="s">
        <v>608</v>
      </c>
      <c r="J104" s="2" t="s">
        <v>623</v>
      </c>
      <c r="K104" s="2" t="s">
        <v>624</v>
      </c>
      <c r="L104" s="2" t="b">
        <v>0</v>
      </c>
      <c r="N104" s="2" t="s">
        <v>1443</v>
      </c>
      <c r="Q104" s="2">
        <v>71307.6015625</v>
      </c>
      <c r="R104" s="6">
        <v>11.35676255787037</v>
      </c>
      <c r="S104" s="5">
        <v>45782.953880046298</v>
      </c>
      <c r="T104" s="5">
        <v>54789.541666666664</v>
      </c>
      <c r="U104" s="2" t="s">
        <v>610</v>
      </c>
      <c r="V104" s="2">
        <v>120</v>
      </c>
      <c r="W104" s="2" t="s">
        <v>917</v>
      </c>
      <c r="X104" s="2" t="s">
        <v>918</v>
      </c>
      <c r="Y104" s="2" t="s">
        <v>1444</v>
      </c>
      <c r="Z104" s="2" t="s">
        <v>1445</v>
      </c>
      <c r="AB104" s="2" t="b">
        <v>0</v>
      </c>
      <c r="AC104" s="2" t="s">
        <v>655</v>
      </c>
      <c r="AD104" s="2" t="s">
        <v>1446</v>
      </c>
      <c r="AE104" s="2" t="s">
        <v>1446</v>
      </c>
      <c r="AF104" s="2" t="s">
        <v>601</v>
      </c>
      <c r="AG104" s="51" t="s">
        <v>1379</v>
      </c>
      <c r="AH104" s="3">
        <v>45975.73551697917</v>
      </c>
      <c r="AI104" s="3">
        <v>45975.861801701387</v>
      </c>
      <c r="AL104" s="3" t="s">
        <v>47</v>
      </c>
      <c r="AS104">
        <v>-200</v>
      </c>
      <c r="AT104">
        <v>0</v>
      </c>
      <c r="AU104" t="s">
        <v>1380</v>
      </c>
      <c r="AV104" t="s">
        <v>1381</v>
      </c>
      <c r="AW104" t="s">
        <v>1354</v>
      </c>
      <c r="AX104" t="s">
        <v>1382</v>
      </c>
    </row>
    <row r="105" spans="1:50">
      <c r="A105" s="2" t="s">
        <v>1447</v>
      </c>
      <c r="B105" s="2" t="s">
        <v>1448</v>
      </c>
      <c r="C105" s="2" t="s">
        <v>902</v>
      </c>
      <c r="D105" s="2" t="s">
        <v>903</v>
      </c>
      <c r="E105" s="2" t="s">
        <v>904</v>
      </c>
      <c r="F105" s="2" t="s">
        <v>1449</v>
      </c>
      <c r="G105" s="2" t="s">
        <v>1450</v>
      </c>
      <c r="H105" s="2" t="s">
        <v>1451</v>
      </c>
      <c r="I105" s="2" t="s">
        <v>608</v>
      </c>
      <c r="J105" s="2" t="s">
        <v>623</v>
      </c>
      <c r="K105" s="2" t="s">
        <v>624</v>
      </c>
      <c r="L105" s="2" t="b">
        <v>0</v>
      </c>
      <c r="N105" s="2" t="s">
        <v>1452</v>
      </c>
      <c r="Q105" s="2">
        <v>44203.80078125</v>
      </c>
      <c r="R105" s="6">
        <v>20.047838599537037</v>
      </c>
      <c r="S105" s="5">
        <v>45711.906285879631</v>
      </c>
      <c r="T105" s="5">
        <v>54789.541666666664</v>
      </c>
      <c r="U105" s="2" t="s">
        <v>610</v>
      </c>
      <c r="V105" s="2">
        <v>120</v>
      </c>
      <c r="W105" s="2" t="s">
        <v>628</v>
      </c>
      <c r="X105" s="2" t="s">
        <v>629</v>
      </c>
      <c r="Y105" s="2" t="s">
        <v>1453</v>
      </c>
      <c r="Z105" s="2" t="s">
        <v>1454</v>
      </c>
      <c r="AB105" s="2" t="b">
        <v>0</v>
      </c>
      <c r="AC105" s="2" t="s">
        <v>655</v>
      </c>
      <c r="AD105" s="2" t="s">
        <v>1455</v>
      </c>
      <c r="AE105" s="2" t="s">
        <v>1455</v>
      </c>
      <c r="AF105" s="2" t="s">
        <v>601</v>
      </c>
      <c r="AG105" s="51" t="s">
        <v>1456</v>
      </c>
      <c r="AH105" s="3">
        <v>45975.819888668979</v>
      </c>
      <c r="AI105" s="3">
        <v>45975.862851631944</v>
      </c>
      <c r="AL105" s="3" t="s">
        <v>47</v>
      </c>
      <c r="AS105">
        <v>0</v>
      </c>
      <c r="AT105">
        <v>0</v>
      </c>
      <c r="AU105" t="s">
        <v>897</v>
      </c>
      <c r="AV105" t="s">
        <v>1287</v>
      </c>
      <c r="AX105" t="s">
        <v>1288</v>
      </c>
    </row>
    <row r="106" spans="1:50">
      <c r="A106" s="2" t="s">
        <v>1457</v>
      </c>
      <c r="B106" s="2" t="s">
        <v>1458</v>
      </c>
      <c r="C106" s="2" t="s">
        <v>1369</v>
      </c>
      <c r="D106" s="2" t="s">
        <v>1370</v>
      </c>
      <c r="E106" s="2" t="s">
        <v>1371</v>
      </c>
      <c r="F106" s="2" t="s">
        <v>1459</v>
      </c>
      <c r="G106" s="2" t="s">
        <v>1460</v>
      </c>
      <c r="H106" s="2" t="s">
        <v>1461</v>
      </c>
      <c r="I106" s="2" t="s">
        <v>608</v>
      </c>
      <c r="J106" s="2" t="s">
        <v>623</v>
      </c>
      <c r="K106" s="2" t="s">
        <v>624</v>
      </c>
      <c r="L106" s="2" t="b">
        <v>0</v>
      </c>
      <c r="N106" s="2" t="s">
        <v>1462</v>
      </c>
      <c r="Q106" s="2">
        <v>26803.47265625</v>
      </c>
      <c r="R106" s="6">
        <v>10.607787581018519</v>
      </c>
      <c r="S106" s="5">
        <v>45711.985872928242</v>
      </c>
      <c r="T106" s="5">
        <v>54789.541666666664</v>
      </c>
      <c r="U106" s="2" t="s">
        <v>610</v>
      </c>
      <c r="V106" s="2">
        <v>120</v>
      </c>
      <c r="W106" s="2" t="s">
        <v>917</v>
      </c>
      <c r="X106" s="2" t="s">
        <v>918</v>
      </c>
      <c r="Y106" s="2" t="s">
        <v>1463</v>
      </c>
      <c r="Z106" s="2" t="s">
        <v>1464</v>
      </c>
      <c r="AB106" s="2" t="b">
        <v>0</v>
      </c>
      <c r="AC106" s="2" t="s">
        <v>655</v>
      </c>
      <c r="AD106" s="2" t="s">
        <v>1465</v>
      </c>
      <c r="AE106" s="2" t="s">
        <v>1465</v>
      </c>
      <c r="AF106" s="2" t="s">
        <v>601</v>
      </c>
      <c r="AG106" s="51" t="s">
        <v>1392</v>
      </c>
      <c r="AH106" s="3">
        <v>45975.493037372682</v>
      </c>
      <c r="AI106" s="3">
        <v>45975.844171631943</v>
      </c>
      <c r="AL106" s="3" t="s">
        <v>47</v>
      </c>
      <c r="AS106">
        <v>0</v>
      </c>
      <c r="AT106">
        <v>0</v>
      </c>
      <c r="AU106" t="s">
        <v>1380</v>
      </c>
      <c r="AV106" t="s">
        <v>1381</v>
      </c>
      <c r="AW106" t="s">
        <v>1354</v>
      </c>
      <c r="AX106" t="s">
        <v>1382</v>
      </c>
    </row>
    <row r="107" spans="1:50">
      <c r="A107" s="2" t="s">
        <v>1466</v>
      </c>
      <c r="B107" s="2" t="s">
        <v>1467</v>
      </c>
      <c r="C107" s="2" t="s">
        <v>1369</v>
      </c>
      <c r="D107" s="2" t="s">
        <v>1370</v>
      </c>
      <c r="E107" s="2" t="s">
        <v>1371</v>
      </c>
      <c r="F107" s="2" t="s">
        <v>1468</v>
      </c>
      <c r="G107" s="2" t="s">
        <v>1469</v>
      </c>
      <c r="H107" s="2" t="s">
        <v>1470</v>
      </c>
      <c r="I107" s="2" t="s">
        <v>608</v>
      </c>
      <c r="J107" s="2" t="s">
        <v>623</v>
      </c>
      <c r="K107" s="2" t="s">
        <v>624</v>
      </c>
      <c r="L107" s="2" t="b">
        <v>0</v>
      </c>
      <c r="N107" s="2" t="s">
        <v>1471</v>
      </c>
      <c r="Q107" s="2">
        <v>47477.80078125</v>
      </c>
      <c r="R107" s="6">
        <v>16.088364166666668</v>
      </c>
      <c r="S107" s="5">
        <v>45711.903354722221</v>
      </c>
      <c r="T107" s="5">
        <v>54789.541666666664</v>
      </c>
      <c r="U107" s="2" t="s">
        <v>610</v>
      </c>
      <c r="V107" s="2">
        <v>120</v>
      </c>
      <c r="W107" s="2" t="s">
        <v>917</v>
      </c>
      <c r="X107" s="2" t="s">
        <v>918</v>
      </c>
      <c r="Y107" s="2" t="s">
        <v>1472</v>
      </c>
      <c r="Z107" s="2" t="s">
        <v>1473</v>
      </c>
      <c r="AB107" s="2" t="b">
        <v>0</v>
      </c>
      <c r="AC107" s="2" t="s">
        <v>655</v>
      </c>
      <c r="AD107" s="2" t="s">
        <v>1474</v>
      </c>
      <c r="AE107" s="2" t="s">
        <v>1474</v>
      </c>
      <c r="AF107" s="2" t="s">
        <v>601</v>
      </c>
      <c r="AG107" s="51" t="s">
        <v>1392</v>
      </c>
      <c r="AH107" s="3">
        <v>45975.777216111113</v>
      </c>
      <c r="AI107" s="3">
        <v>45975.86181101852</v>
      </c>
      <c r="AL107" s="3" t="s">
        <v>47</v>
      </c>
      <c r="AS107">
        <v>0</v>
      </c>
      <c r="AT107">
        <v>0</v>
      </c>
      <c r="AU107" t="s">
        <v>1380</v>
      </c>
      <c r="AV107" t="s">
        <v>1381</v>
      </c>
      <c r="AW107" t="s">
        <v>1354</v>
      </c>
      <c r="AX107" t="s">
        <v>1382</v>
      </c>
    </row>
    <row r="108" spans="1:50">
      <c r="A108" s="2" t="s">
        <v>1475</v>
      </c>
      <c r="B108" s="2" t="s">
        <v>1476</v>
      </c>
      <c r="C108" s="2" t="s">
        <v>1477</v>
      </c>
      <c r="D108" s="2" t="s">
        <v>1478</v>
      </c>
      <c r="E108" s="2" t="s">
        <v>1479</v>
      </c>
      <c r="F108" s="2" t="s">
        <v>1480</v>
      </c>
      <c r="G108" s="2" t="s">
        <v>1481</v>
      </c>
      <c r="H108" s="2" t="s">
        <v>1482</v>
      </c>
      <c r="I108" s="2" t="s">
        <v>608</v>
      </c>
      <c r="J108" s="2" t="s">
        <v>623</v>
      </c>
      <c r="K108" s="2" t="s">
        <v>624</v>
      </c>
      <c r="L108" s="2" t="b">
        <v>0</v>
      </c>
      <c r="N108" s="2" t="s">
        <v>1483</v>
      </c>
      <c r="Q108" s="2">
        <v>18931.236328125</v>
      </c>
      <c r="R108" s="6">
        <v>21.753254050925925</v>
      </c>
      <c r="S108" s="5">
        <v>45782.955294421299</v>
      </c>
      <c r="T108" s="5">
        <v>54789.541666666664</v>
      </c>
      <c r="U108" s="2" t="s">
        <v>610</v>
      </c>
      <c r="V108" s="2">
        <v>120</v>
      </c>
      <c r="W108" s="2" t="s">
        <v>628</v>
      </c>
      <c r="X108" s="2" t="s">
        <v>629</v>
      </c>
      <c r="Y108" s="2" t="s">
        <v>1484</v>
      </c>
      <c r="Z108" s="2" t="s">
        <v>1485</v>
      </c>
      <c r="AB108" s="2" t="b">
        <v>0</v>
      </c>
      <c r="AC108" s="2" t="s">
        <v>655</v>
      </c>
      <c r="AD108" s="2" t="s">
        <v>1486</v>
      </c>
      <c r="AE108" s="2" t="s">
        <v>1486</v>
      </c>
      <c r="AF108" s="2" t="s">
        <v>601</v>
      </c>
      <c r="AG108" s="51" t="s">
        <v>1351</v>
      </c>
      <c r="AH108" s="3">
        <v>45975.822999861113</v>
      </c>
      <c r="AI108" s="3">
        <v>45975.856286898146</v>
      </c>
      <c r="AL108" s="3" t="s">
        <v>47</v>
      </c>
      <c r="AS108">
        <v>0</v>
      </c>
      <c r="AT108">
        <v>0</v>
      </c>
      <c r="AU108" t="s">
        <v>1352</v>
      </c>
      <c r="AV108" t="s">
        <v>1353</v>
      </c>
      <c r="AW108" t="s">
        <v>1354</v>
      </c>
      <c r="AX108" t="s">
        <v>1355</v>
      </c>
    </row>
    <row r="109" spans="1:50">
      <c r="A109" s="2" t="s">
        <v>1487</v>
      </c>
      <c r="B109" s="2" t="s">
        <v>1488</v>
      </c>
      <c r="C109" s="2" t="s">
        <v>1489</v>
      </c>
      <c r="D109" s="2" t="s">
        <v>1490</v>
      </c>
      <c r="E109" s="2" t="s">
        <v>1491</v>
      </c>
      <c r="F109" s="2" t="s">
        <v>1492</v>
      </c>
      <c r="G109" s="2" t="s">
        <v>1493</v>
      </c>
      <c r="H109" s="2" t="s">
        <v>1494</v>
      </c>
      <c r="I109" s="2" t="s">
        <v>608</v>
      </c>
      <c r="J109" s="2" t="s">
        <v>623</v>
      </c>
      <c r="K109" s="2" t="s">
        <v>624</v>
      </c>
      <c r="L109" s="2" t="b">
        <v>0</v>
      </c>
      <c r="N109" s="2" t="s">
        <v>1495</v>
      </c>
      <c r="Q109" s="2">
        <v>29063</v>
      </c>
      <c r="R109" s="6">
        <v>18.013733333333334</v>
      </c>
      <c r="S109" s="5">
        <v>45737.985999178243</v>
      </c>
      <c r="T109" s="5">
        <v>54789.541666666664</v>
      </c>
      <c r="U109" s="2" t="s">
        <v>610</v>
      </c>
      <c r="V109" s="2">
        <v>120</v>
      </c>
      <c r="W109" s="2" t="s">
        <v>917</v>
      </c>
      <c r="X109" s="2" t="s">
        <v>918</v>
      </c>
      <c r="Y109" s="2" t="s">
        <v>1496</v>
      </c>
      <c r="Z109" s="2" t="s">
        <v>1497</v>
      </c>
      <c r="AB109" s="2" t="b">
        <v>0</v>
      </c>
      <c r="AC109" s="2" t="s">
        <v>655</v>
      </c>
      <c r="AD109" s="2" t="s">
        <v>1498</v>
      </c>
      <c r="AE109" s="2" t="s">
        <v>1498</v>
      </c>
      <c r="AF109" s="2" t="s">
        <v>601</v>
      </c>
      <c r="AG109" s="51" t="s">
        <v>1499</v>
      </c>
      <c r="AH109" s="3">
        <v>45975.728738726852</v>
      </c>
      <c r="AI109" s="3">
        <v>45975.858588263887</v>
      </c>
      <c r="AL109" s="3" t="s">
        <v>47</v>
      </c>
      <c r="AS109">
        <v>0</v>
      </c>
      <c r="AT109">
        <v>0</v>
      </c>
      <c r="AU109" t="s">
        <v>1352</v>
      </c>
      <c r="AV109" t="s">
        <v>1500</v>
      </c>
      <c r="AW109" t="s">
        <v>1501</v>
      </c>
      <c r="AX109" t="s">
        <v>1502</v>
      </c>
    </row>
    <row r="110" spans="1:50">
      <c r="A110" s="2" t="s">
        <v>1503</v>
      </c>
      <c r="B110" s="2" t="s">
        <v>1504</v>
      </c>
      <c r="C110" s="2" t="s">
        <v>1505</v>
      </c>
      <c r="D110" s="2" t="s">
        <v>1506</v>
      </c>
      <c r="E110" s="2" t="s">
        <v>1507</v>
      </c>
      <c r="F110" s="2" t="s">
        <v>1508</v>
      </c>
      <c r="G110" s="2" t="s">
        <v>1509</v>
      </c>
      <c r="H110" s="2" t="s">
        <v>1510</v>
      </c>
      <c r="I110" s="2" t="s">
        <v>608</v>
      </c>
      <c r="J110" s="2" t="s">
        <v>623</v>
      </c>
      <c r="K110" s="2" t="s">
        <v>624</v>
      </c>
      <c r="L110" s="2" t="b">
        <v>0</v>
      </c>
      <c r="N110" s="2" t="s">
        <v>1511</v>
      </c>
      <c r="Q110" s="2">
        <v>8705</v>
      </c>
      <c r="R110" s="6">
        <v>11.12204025462963</v>
      </c>
      <c r="S110" s="5">
        <v>45737.986430393517</v>
      </c>
      <c r="T110" s="5">
        <v>54789.541666666664</v>
      </c>
      <c r="U110" s="2" t="s">
        <v>610</v>
      </c>
      <c r="V110" s="2">
        <v>120</v>
      </c>
      <c r="W110" s="2" t="s">
        <v>628</v>
      </c>
      <c r="X110" s="2" t="s">
        <v>629</v>
      </c>
      <c r="Y110" s="2" t="s">
        <v>1512</v>
      </c>
      <c r="Z110" s="2" t="s">
        <v>1513</v>
      </c>
      <c r="AB110" s="2" t="b">
        <v>0</v>
      </c>
      <c r="AC110" s="2" t="s">
        <v>655</v>
      </c>
      <c r="AD110" s="2" t="s">
        <v>1514</v>
      </c>
      <c r="AE110" s="2" t="s">
        <v>1514</v>
      </c>
      <c r="AF110" s="2" t="s">
        <v>601</v>
      </c>
      <c r="AG110" s="51" t="s">
        <v>1499</v>
      </c>
      <c r="AH110" s="3">
        <v>45975.850509490738</v>
      </c>
      <c r="AI110" s="3">
        <v>45975.850775694445</v>
      </c>
      <c r="AL110" s="3" t="s">
        <v>47</v>
      </c>
      <c r="AS110">
        <v>0</v>
      </c>
      <c r="AT110">
        <v>0</v>
      </c>
      <c r="AU110" t="s">
        <v>1352</v>
      </c>
      <c r="AV110" t="s">
        <v>1500</v>
      </c>
      <c r="AW110" t="s">
        <v>1501</v>
      </c>
      <c r="AX110" t="s">
        <v>1502</v>
      </c>
    </row>
    <row r="111" spans="1:50">
      <c r="A111" s="2" t="s">
        <v>1515</v>
      </c>
      <c r="B111" s="2" t="s">
        <v>1516</v>
      </c>
      <c r="C111" s="2" t="s">
        <v>1517</v>
      </c>
      <c r="D111" s="2" t="s">
        <v>1518</v>
      </c>
      <c r="E111" s="2" t="s">
        <v>1519</v>
      </c>
      <c r="F111" s="2" t="s">
        <v>742</v>
      </c>
      <c r="G111" s="2" t="s">
        <v>1520</v>
      </c>
      <c r="H111" s="2" t="s">
        <v>1521</v>
      </c>
      <c r="I111" s="2" t="s">
        <v>608</v>
      </c>
      <c r="J111" s="2" t="s">
        <v>623</v>
      </c>
      <c r="K111" s="2" t="s">
        <v>624</v>
      </c>
      <c r="L111" s="2" t="b">
        <v>0</v>
      </c>
      <c r="M111" s="2" t="s">
        <v>761</v>
      </c>
      <c r="N111" s="2" t="s">
        <v>762</v>
      </c>
      <c r="O111" s="2" t="s">
        <v>763</v>
      </c>
      <c r="Q111" s="2">
        <v>22861</v>
      </c>
      <c r="R111" s="6">
        <v>6.7180999074074075</v>
      </c>
      <c r="S111" s="5">
        <v>45782.955741620368</v>
      </c>
      <c r="T111" s="5">
        <v>54789.541666666664</v>
      </c>
      <c r="U111" s="2" t="s">
        <v>610</v>
      </c>
      <c r="V111" s="2">
        <v>120</v>
      </c>
      <c r="W111" s="2" t="s">
        <v>628</v>
      </c>
      <c r="X111" s="2" t="s">
        <v>954</v>
      </c>
      <c r="Y111" s="2" t="s">
        <v>1522</v>
      </c>
      <c r="AB111" s="2" t="b">
        <v>0</v>
      </c>
      <c r="AC111" s="2" t="s">
        <v>655</v>
      </c>
      <c r="AD111" s="2" t="s">
        <v>1523</v>
      </c>
      <c r="AE111" s="2" t="s">
        <v>1523</v>
      </c>
      <c r="AF111" s="2" t="s">
        <v>601</v>
      </c>
      <c r="AG111" s="51" t="s">
        <v>1524</v>
      </c>
      <c r="AH111" s="3">
        <v>45975.323254606483</v>
      </c>
      <c r="AI111" s="3">
        <v>45975.845465254628</v>
      </c>
      <c r="AL111" s="3" t="s">
        <v>47</v>
      </c>
      <c r="AS111">
        <v>0</v>
      </c>
      <c r="AT111">
        <v>0</v>
      </c>
      <c r="AU111" t="s">
        <v>1380</v>
      </c>
      <c r="AV111" t="s">
        <v>1381</v>
      </c>
      <c r="AW111" t="s">
        <v>1525</v>
      </c>
      <c r="AX111" t="s">
        <v>1382</v>
      </c>
    </row>
    <row r="112" spans="1:50">
      <c r="A112" s="2" t="s">
        <v>1526</v>
      </c>
      <c r="B112" s="2" t="s">
        <v>1527</v>
      </c>
      <c r="C112" s="2" t="s">
        <v>1089</v>
      </c>
      <c r="D112" s="2" t="s">
        <v>1090</v>
      </c>
      <c r="E112" s="2" t="s">
        <v>1091</v>
      </c>
      <c r="I112" s="2" t="s">
        <v>608</v>
      </c>
      <c r="J112" s="2" t="s">
        <v>623</v>
      </c>
      <c r="K112" s="2" t="s">
        <v>624</v>
      </c>
      <c r="L112" s="2" t="b">
        <v>0</v>
      </c>
      <c r="N112" s="2" t="s">
        <v>1528</v>
      </c>
      <c r="Q112" s="2">
        <v>33038.6015625</v>
      </c>
      <c r="R112" s="6">
        <v>24.701792268518517</v>
      </c>
      <c r="S112" s="5">
        <v>45782.95974395833</v>
      </c>
      <c r="T112" s="5">
        <v>54789.541666666664</v>
      </c>
      <c r="U112" s="2" t="s">
        <v>610</v>
      </c>
      <c r="V112" s="2">
        <v>120</v>
      </c>
      <c r="W112" s="2" t="s">
        <v>628</v>
      </c>
      <c r="X112" s="2" t="s">
        <v>629</v>
      </c>
      <c r="Y112" s="2" t="s">
        <v>1529</v>
      </c>
      <c r="Z112" s="2" t="s">
        <v>1530</v>
      </c>
      <c r="AB112" s="2" t="b">
        <v>0</v>
      </c>
      <c r="AC112" s="2" t="s">
        <v>655</v>
      </c>
      <c r="AD112" s="2" t="s">
        <v>1531</v>
      </c>
      <c r="AE112" s="2" t="s">
        <v>1531</v>
      </c>
      <c r="AF112" s="2" t="s">
        <v>601</v>
      </c>
      <c r="AG112" s="51" t="s">
        <v>1532</v>
      </c>
      <c r="AH112" s="3">
        <v>45975.808521886574</v>
      </c>
      <c r="AI112" s="3">
        <v>45975.851380682871</v>
      </c>
      <c r="AL112" s="3" t="s">
        <v>47</v>
      </c>
      <c r="AS112">
        <v>15000</v>
      </c>
      <c r="AT112">
        <v>0</v>
      </c>
      <c r="AU112" t="s">
        <v>897</v>
      </c>
      <c r="AV112" t="s">
        <v>1287</v>
      </c>
      <c r="AX112" t="s">
        <v>1288</v>
      </c>
    </row>
    <row r="113" spans="1:50">
      <c r="A113" s="2" t="s">
        <v>1533</v>
      </c>
      <c r="B113" s="2" t="s">
        <v>1534</v>
      </c>
      <c r="C113" s="2" t="s">
        <v>1089</v>
      </c>
      <c r="D113" s="2" t="s">
        <v>1090</v>
      </c>
      <c r="E113" s="2" t="s">
        <v>1091</v>
      </c>
      <c r="F113" s="2" t="s">
        <v>1535</v>
      </c>
      <c r="G113" s="2" t="s">
        <v>1536</v>
      </c>
      <c r="H113" s="2" t="s">
        <v>1537</v>
      </c>
      <c r="I113" s="2" t="s">
        <v>608</v>
      </c>
      <c r="J113" s="2" t="s">
        <v>623</v>
      </c>
      <c r="K113" s="2" t="s">
        <v>624</v>
      </c>
      <c r="L113" s="2" t="b">
        <v>0</v>
      </c>
      <c r="N113" s="2" t="s">
        <v>1538</v>
      </c>
      <c r="Q113" s="2">
        <v>19603.599609375</v>
      </c>
      <c r="R113" s="6">
        <v>11.821996759259259</v>
      </c>
      <c r="S113" s="5">
        <v>45782.960964976854</v>
      </c>
      <c r="T113" s="5">
        <v>54789.541666666664</v>
      </c>
      <c r="U113" s="2" t="s">
        <v>610</v>
      </c>
      <c r="V113" s="2">
        <v>120</v>
      </c>
      <c r="W113" s="2" t="s">
        <v>628</v>
      </c>
      <c r="X113" s="2" t="s">
        <v>629</v>
      </c>
      <c r="Y113" s="2" t="s">
        <v>1539</v>
      </c>
      <c r="Z113" s="2" t="s">
        <v>1540</v>
      </c>
      <c r="AB113" s="2" t="b">
        <v>0</v>
      </c>
      <c r="AC113" s="2" t="s">
        <v>655</v>
      </c>
      <c r="AD113" s="2" t="s">
        <v>1541</v>
      </c>
      <c r="AE113" s="2" t="s">
        <v>1541</v>
      </c>
      <c r="AF113" s="2" t="s">
        <v>601</v>
      </c>
      <c r="AG113" s="51" t="s">
        <v>1532</v>
      </c>
      <c r="AH113" s="3">
        <v>45973.73670465278</v>
      </c>
      <c r="AI113" s="3">
        <v>45975.842098171299</v>
      </c>
      <c r="AL113" s="3" t="s">
        <v>47</v>
      </c>
      <c r="AS113">
        <v>0</v>
      </c>
      <c r="AT113">
        <v>0</v>
      </c>
      <c r="AU113" t="s">
        <v>897</v>
      </c>
      <c r="AV113" t="s">
        <v>1287</v>
      </c>
      <c r="AX113" t="s">
        <v>1288</v>
      </c>
    </row>
    <row r="114" spans="1:50">
      <c r="A114" s="2" t="s">
        <v>1542</v>
      </c>
      <c r="B114" s="2" t="s">
        <v>1543</v>
      </c>
      <c r="C114" s="2" t="s">
        <v>1544</v>
      </c>
      <c r="D114" s="2" t="s">
        <v>1545</v>
      </c>
      <c r="E114" s="2" t="s">
        <v>1546</v>
      </c>
      <c r="F114" s="2" t="s">
        <v>1547</v>
      </c>
      <c r="G114" s="2" t="s">
        <v>1548</v>
      </c>
      <c r="H114" s="2" t="s">
        <v>1549</v>
      </c>
      <c r="I114" s="2" t="s">
        <v>608</v>
      </c>
      <c r="J114" s="2" t="s">
        <v>623</v>
      </c>
      <c r="K114" s="2" t="s">
        <v>624</v>
      </c>
      <c r="L114" s="2" t="b">
        <v>0</v>
      </c>
      <c r="N114" s="2" t="s">
        <v>1550</v>
      </c>
      <c r="Q114" s="2">
        <v>8934.7998046875</v>
      </c>
      <c r="R114" s="6">
        <v>6.937152592592593</v>
      </c>
      <c r="S114" s="5">
        <v>45782.960266724534</v>
      </c>
      <c r="T114" s="5">
        <v>54789.541666666664</v>
      </c>
      <c r="U114" s="2" t="s">
        <v>610</v>
      </c>
      <c r="V114" s="2">
        <v>120</v>
      </c>
      <c r="W114" s="2" t="s">
        <v>628</v>
      </c>
      <c r="X114" s="2" t="s">
        <v>629</v>
      </c>
      <c r="Y114" s="2" t="s">
        <v>1551</v>
      </c>
      <c r="Z114" s="2" t="s">
        <v>1552</v>
      </c>
      <c r="AB114" s="2" t="b">
        <v>0</v>
      </c>
      <c r="AC114" s="2" t="s">
        <v>655</v>
      </c>
      <c r="AD114" s="2" t="s">
        <v>1553</v>
      </c>
      <c r="AE114" s="2" t="s">
        <v>1553</v>
      </c>
      <c r="AF114" s="2" t="s">
        <v>601</v>
      </c>
      <c r="AG114" s="51" t="s">
        <v>1554</v>
      </c>
      <c r="AH114" s="3">
        <v>45975.745570347222</v>
      </c>
      <c r="AI114" s="3">
        <v>45975.851021736111</v>
      </c>
      <c r="AL114" s="3" t="s">
        <v>47</v>
      </c>
      <c r="AS114">
        <v>0</v>
      </c>
      <c r="AT114">
        <v>0</v>
      </c>
      <c r="AU114" t="s">
        <v>897</v>
      </c>
      <c r="AV114" t="s">
        <v>1287</v>
      </c>
      <c r="AX114" t="s">
        <v>1288</v>
      </c>
    </row>
    <row r="115" spans="1:50">
      <c r="A115" s="2" t="s">
        <v>1555</v>
      </c>
      <c r="B115" s="2" t="s">
        <v>1556</v>
      </c>
      <c r="C115" s="2" t="s">
        <v>1557</v>
      </c>
      <c r="D115" s="2" t="s">
        <v>1558</v>
      </c>
      <c r="E115" s="2" t="s">
        <v>1559</v>
      </c>
      <c r="F115" s="2" t="s">
        <v>1560</v>
      </c>
      <c r="G115" s="2" t="s">
        <v>1561</v>
      </c>
      <c r="H115" s="2" t="s">
        <v>1562</v>
      </c>
      <c r="I115" s="2" t="s">
        <v>608</v>
      </c>
      <c r="J115" s="2" t="s">
        <v>623</v>
      </c>
      <c r="K115" s="2" t="s">
        <v>624</v>
      </c>
      <c r="L115" s="2" t="b">
        <v>0</v>
      </c>
      <c r="N115" s="2" t="s">
        <v>1563</v>
      </c>
      <c r="Q115" s="2">
        <v>5671</v>
      </c>
      <c r="R115" s="6">
        <v>5.5893251620370368</v>
      </c>
      <c r="S115" s="5">
        <v>45847.411087025466</v>
      </c>
      <c r="T115" s="5">
        <v>54789.541666666664</v>
      </c>
      <c r="U115" s="2" t="s">
        <v>610</v>
      </c>
      <c r="V115" s="2">
        <v>120</v>
      </c>
      <c r="W115" s="2" t="s">
        <v>628</v>
      </c>
      <c r="X115" s="2" t="s">
        <v>629</v>
      </c>
      <c r="Y115" s="2" t="s">
        <v>1564</v>
      </c>
      <c r="Z115" s="2" t="s">
        <v>1565</v>
      </c>
      <c r="AB115" s="2" t="b">
        <v>0</v>
      </c>
      <c r="AC115" s="2" t="s">
        <v>613</v>
      </c>
      <c r="AD115" s="2" t="s">
        <v>1566</v>
      </c>
      <c r="AE115" s="2" t="s">
        <v>1566</v>
      </c>
      <c r="AF115" s="2" t="s">
        <v>601</v>
      </c>
      <c r="AG115" s="51" t="s">
        <v>1567</v>
      </c>
      <c r="AH115" s="3">
        <v>45975.785986053241</v>
      </c>
      <c r="AI115" s="3">
        <v>45975.856101793979</v>
      </c>
      <c r="AL115" s="3" t="s">
        <v>47</v>
      </c>
      <c r="AS115">
        <v>0</v>
      </c>
      <c r="AT115">
        <v>0</v>
      </c>
      <c r="AU115" t="s">
        <v>1352</v>
      </c>
      <c r="AV115" t="s">
        <v>1500</v>
      </c>
      <c r="AW115" t="s">
        <v>1501</v>
      </c>
      <c r="AX115" t="s">
        <v>1502</v>
      </c>
    </row>
    <row r="116" spans="1:50">
      <c r="A116" s="2" t="s">
        <v>1568</v>
      </c>
      <c r="B116" s="2" t="s">
        <v>1569</v>
      </c>
      <c r="C116" s="2" t="s">
        <v>1570</v>
      </c>
      <c r="D116" s="2" t="s">
        <v>1571</v>
      </c>
      <c r="E116" s="2" t="s">
        <v>1572</v>
      </c>
      <c r="I116" s="2" t="s">
        <v>608</v>
      </c>
      <c r="J116" s="2" t="s">
        <v>623</v>
      </c>
      <c r="K116" s="2" t="s">
        <v>624</v>
      </c>
      <c r="L116" s="2" t="b">
        <v>0</v>
      </c>
      <c r="N116" s="2" t="s">
        <v>1573</v>
      </c>
      <c r="Q116" s="2">
        <v>3028.10009765625</v>
      </c>
      <c r="R116" s="6">
        <v>2.1546978587962964</v>
      </c>
      <c r="S116" s="5">
        <v>45894.987922534725</v>
      </c>
      <c r="T116" s="5">
        <v>54789.541666666664</v>
      </c>
      <c r="U116" s="2" t="s">
        <v>610</v>
      </c>
      <c r="V116" s="2">
        <v>120</v>
      </c>
      <c r="W116" s="2" t="s">
        <v>628</v>
      </c>
      <c r="X116" s="2" t="s">
        <v>629</v>
      </c>
      <c r="Y116" s="2" t="s">
        <v>1574</v>
      </c>
      <c r="Z116" s="2" t="s">
        <v>1575</v>
      </c>
      <c r="AB116" s="2" t="b">
        <v>0</v>
      </c>
      <c r="AC116" s="2" t="s">
        <v>613</v>
      </c>
      <c r="AD116" s="2" t="s">
        <v>1576</v>
      </c>
      <c r="AE116" s="2" t="s">
        <v>1576</v>
      </c>
      <c r="AF116" s="2" t="s">
        <v>601</v>
      </c>
      <c r="AG116" s="51" t="s">
        <v>1577</v>
      </c>
      <c r="AH116" s="3">
        <v>45975.775017789354</v>
      </c>
      <c r="AI116" s="3">
        <v>45975.844948344908</v>
      </c>
      <c r="AL116" s="3" t="s">
        <v>47</v>
      </c>
      <c r="AS116">
        <v>0</v>
      </c>
      <c r="AT116">
        <v>0</v>
      </c>
      <c r="AU116" t="s">
        <v>1352</v>
      </c>
      <c r="AV116" t="s">
        <v>1353</v>
      </c>
      <c r="AW116" t="s">
        <v>1501</v>
      </c>
      <c r="AX116" t="s">
        <v>1355</v>
      </c>
    </row>
    <row r="117" spans="1:50">
      <c r="A117" s="2" t="s">
        <v>1578</v>
      </c>
      <c r="B117" s="2" t="s">
        <v>1579</v>
      </c>
      <c r="C117" s="2" t="s">
        <v>1580</v>
      </c>
      <c r="D117" s="2" t="s">
        <v>1581</v>
      </c>
      <c r="E117" s="2" t="s">
        <v>1582</v>
      </c>
      <c r="I117" s="2" t="s">
        <v>608</v>
      </c>
      <c r="J117" s="2" t="s">
        <v>623</v>
      </c>
      <c r="K117" s="2" t="s">
        <v>624</v>
      </c>
      <c r="L117" s="2" t="b">
        <v>0</v>
      </c>
      <c r="N117" s="2" t="s">
        <v>1583</v>
      </c>
      <c r="Q117" s="2">
        <v>1667</v>
      </c>
      <c r="R117" s="6">
        <v>1.0483340277777777</v>
      </c>
      <c r="S117" s="5">
        <v>45894.986825011576</v>
      </c>
      <c r="T117" s="5">
        <v>54789.541666666664</v>
      </c>
      <c r="U117" s="2" t="s">
        <v>610</v>
      </c>
      <c r="V117" s="2">
        <v>120</v>
      </c>
      <c r="W117" s="2" t="s">
        <v>917</v>
      </c>
      <c r="X117" s="2" t="s">
        <v>918</v>
      </c>
      <c r="Y117" s="2" t="s">
        <v>1584</v>
      </c>
      <c r="AB117" s="2" t="b">
        <v>0</v>
      </c>
      <c r="AC117" s="2" t="s">
        <v>1585</v>
      </c>
      <c r="AD117" s="2" t="s">
        <v>1586</v>
      </c>
      <c r="AE117" s="2" t="s">
        <v>1586</v>
      </c>
      <c r="AF117" s="2" t="s">
        <v>601</v>
      </c>
      <c r="AH117" s="3">
        <v>45970.532899803242</v>
      </c>
      <c r="AI117" s="3">
        <v>45975.350122025462</v>
      </c>
      <c r="AL117" s="3" t="s">
        <v>47</v>
      </c>
      <c r="AS117">
        <v>0</v>
      </c>
      <c r="AT117">
        <v>0</v>
      </c>
      <c r="AU117" t="s">
        <v>1352</v>
      </c>
      <c r="AV117" t="s">
        <v>1500</v>
      </c>
      <c r="AW117" t="s">
        <v>1501</v>
      </c>
      <c r="AX117" t="s">
        <v>1502</v>
      </c>
    </row>
    <row r="118" spans="1:50">
      <c r="A118" s="2" t="s">
        <v>1587</v>
      </c>
      <c r="B118" s="2" t="s">
        <v>1588</v>
      </c>
      <c r="C118" s="2" t="s">
        <v>1589</v>
      </c>
      <c r="D118" s="2" t="s">
        <v>1590</v>
      </c>
      <c r="E118" s="2" t="s">
        <v>1591</v>
      </c>
      <c r="I118" s="2" t="s">
        <v>608</v>
      </c>
      <c r="J118" s="2" t="s">
        <v>623</v>
      </c>
      <c r="K118" s="2" t="s">
        <v>624</v>
      </c>
      <c r="L118" s="2" t="b">
        <v>0</v>
      </c>
      <c r="M118" s="2" t="s">
        <v>761</v>
      </c>
      <c r="N118" s="2" t="s">
        <v>762</v>
      </c>
      <c r="O118" s="2" t="s">
        <v>763</v>
      </c>
      <c r="Q118" s="2">
        <v>508232.5625</v>
      </c>
      <c r="R118" s="6">
        <v>363.28470539351849</v>
      </c>
      <c r="S118" s="5">
        <v>45723.576249270831</v>
      </c>
      <c r="T118" s="5">
        <v>54789.541666666664</v>
      </c>
      <c r="U118" s="2" t="s">
        <v>610</v>
      </c>
      <c r="V118" s="2">
        <v>120</v>
      </c>
      <c r="W118" s="2" t="s">
        <v>628</v>
      </c>
      <c r="X118" s="2" t="s">
        <v>629</v>
      </c>
      <c r="Y118" s="2" t="s">
        <v>1592</v>
      </c>
      <c r="Z118" s="2" t="s">
        <v>1593</v>
      </c>
      <c r="AB118" s="2" t="b">
        <v>0</v>
      </c>
      <c r="AC118" s="2" t="s">
        <v>655</v>
      </c>
      <c r="AE118" s="58" t="s">
        <v>632</v>
      </c>
      <c r="AF118" s="2" t="s">
        <v>601</v>
      </c>
      <c r="AG118" s="51" t="s">
        <v>1594</v>
      </c>
      <c r="AH118" s="3">
        <v>45973.613684502314</v>
      </c>
      <c r="AI118" s="3">
        <v>45975.850524780093</v>
      </c>
      <c r="AL118" s="3" t="s">
        <v>47</v>
      </c>
      <c r="AS118">
        <v>0</v>
      </c>
      <c r="AT118">
        <v>0</v>
      </c>
      <c r="AX118" t="s">
        <v>618</v>
      </c>
    </row>
    <row r="119" spans="1:50">
      <c r="A119" s="2" t="s">
        <v>1595</v>
      </c>
      <c r="B119" s="2" t="s">
        <v>1596</v>
      </c>
      <c r="C119" s="2" t="s">
        <v>1589</v>
      </c>
      <c r="D119" s="2" t="s">
        <v>1590</v>
      </c>
      <c r="E119" s="2" t="s">
        <v>1591</v>
      </c>
      <c r="I119" s="2" t="s">
        <v>608</v>
      </c>
      <c r="J119" s="2" t="s">
        <v>623</v>
      </c>
      <c r="K119" s="2" t="s">
        <v>624</v>
      </c>
      <c r="L119" s="2" t="b">
        <v>0</v>
      </c>
      <c r="M119" s="2" t="s">
        <v>721</v>
      </c>
      <c r="N119" s="2" t="s">
        <v>817</v>
      </c>
      <c r="O119" s="2" t="s">
        <v>627</v>
      </c>
      <c r="Q119" s="2">
        <v>280849.34375</v>
      </c>
      <c r="R119" s="6">
        <v>167.18196579861112</v>
      </c>
      <c r="S119" s="5">
        <v>45721.961782025464</v>
      </c>
      <c r="T119" s="5">
        <v>54789.541666666664</v>
      </c>
      <c r="U119" s="2" t="s">
        <v>610</v>
      </c>
      <c r="V119" s="2">
        <v>120</v>
      </c>
      <c r="W119" s="2" t="s">
        <v>628</v>
      </c>
      <c r="X119" s="2" t="s">
        <v>629</v>
      </c>
      <c r="Y119" s="2" t="s">
        <v>1597</v>
      </c>
      <c r="Z119" s="2" t="s">
        <v>1598</v>
      </c>
      <c r="AB119" s="2" t="b">
        <v>0</v>
      </c>
      <c r="AC119" s="2" t="s">
        <v>655</v>
      </c>
      <c r="AE119" s="58" t="s">
        <v>632</v>
      </c>
      <c r="AF119" s="2" t="s">
        <v>601</v>
      </c>
      <c r="AG119" s="51" t="s">
        <v>1599</v>
      </c>
      <c r="AH119" s="3">
        <v>45975.68596667824</v>
      </c>
      <c r="AI119" s="3">
        <v>45975.853871770836</v>
      </c>
      <c r="AL119" s="3" t="s">
        <v>47</v>
      </c>
      <c r="AS119">
        <v>0</v>
      </c>
      <c r="AT119">
        <v>0</v>
      </c>
      <c r="AX119" t="s">
        <v>618</v>
      </c>
    </row>
    <row r="120" spans="1:50">
      <c r="A120" s="2" t="s">
        <v>1600</v>
      </c>
      <c r="B120" s="2" t="s">
        <v>1601</v>
      </c>
      <c r="C120" s="2" t="s">
        <v>1589</v>
      </c>
      <c r="D120" s="2" t="s">
        <v>1590</v>
      </c>
      <c r="E120" s="2" t="s">
        <v>1591</v>
      </c>
      <c r="I120" s="2" t="s">
        <v>608</v>
      </c>
      <c r="J120" s="2" t="s">
        <v>623</v>
      </c>
      <c r="K120" s="2" t="s">
        <v>624</v>
      </c>
      <c r="L120" s="2" t="b">
        <v>0</v>
      </c>
      <c r="M120" s="2" t="s">
        <v>721</v>
      </c>
      <c r="N120" s="2" t="s">
        <v>1602</v>
      </c>
      <c r="O120" s="2" t="s">
        <v>627</v>
      </c>
      <c r="Q120" s="2">
        <v>240576.546875</v>
      </c>
      <c r="R120" s="6">
        <v>156.49916671296296</v>
      </c>
      <c r="S120" s="5">
        <v>45901.65318666667</v>
      </c>
      <c r="T120" s="5">
        <v>54789.541666666664</v>
      </c>
      <c r="U120" s="2" t="s">
        <v>610</v>
      </c>
      <c r="V120" s="2">
        <v>120</v>
      </c>
      <c r="W120" s="2" t="s">
        <v>628</v>
      </c>
      <c r="X120" s="2" t="s">
        <v>629</v>
      </c>
      <c r="Y120" s="2" t="s">
        <v>1603</v>
      </c>
      <c r="Z120" s="2" t="s">
        <v>1604</v>
      </c>
      <c r="AB120" s="2" t="b">
        <v>0</v>
      </c>
      <c r="AC120" s="2" t="s">
        <v>655</v>
      </c>
      <c r="AE120" s="58" t="s">
        <v>632</v>
      </c>
      <c r="AF120" s="2" t="s">
        <v>601</v>
      </c>
      <c r="AG120" s="51" t="s">
        <v>1605</v>
      </c>
      <c r="AH120" s="3">
        <v>45975.683770173608</v>
      </c>
      <c r="AI120" s="3">
        <v>45975.852149803242</v>
      </c>
      <c r="AL120" s="3" t="s">
        <v>47</v>
      </c>
      <c r="AS120">
        <v>0</v>
      </c>
      <c r="AT120">
        <v>0</v>
      </c>
      <c r="AX120" t="s">
        <v>618</v>
      </c>
    </row>
    <row r="121" spans="1:50">
      <c r="A121" s="2" t="s">
        <v>1606</v>
      </c>
      <c r="B121" s="2" t="s">
        <v>1607</v>
      </c>
      <c r="C121" s="2" t="s">
        <v>1589</v>
      </c>
      <c r="D121" s="2" t="s">
        <v>1590</v>
      </c>
      <c r="E121" s="2" t="s">
        <v>1591</v>
      </c>
      <c r="I121" s="2" t="s">
        <v>608</v>
      </c>
      <c r="J121" s="2" t="s">
        <v>623</v>
      </c>
      <c r="K121" s="2" t="s">
        <v>624</v>
      </c>
      <c r="L121" s="2" t="b">
        <v>0</v>
      </c>
      <c r="M121" s="2" t="s">
        <v>721</v>
      </c>
      <c r="N121" s="2" t="s">
        <v>817</v>
      </c>
      <c r="O121" s="2" t="s">
        <v>627</v>
      </c>
      <c r="Q121" s="2">
        <v>299014.1875</v>
      </c>
      <c r="R121" s="6">
        <v>522.44443347222227</v>
      </c>
      <c r="S121" s="5">
        <v>45782.956712881947</v>
      </c>
      <c r="T121" s="5">
        <v>54789.541666666664</v>
      </c>
      <c r="U121" s="2" t="s">
        <v>610</v>
      </c>
      <c r="V121" s="2">
        <v>120</v>
      </c>
      <c r="W121" s="2" t="s">
        <v>628</v>
      </c>
      <c r="X121" s="2" t="s">
        <v>954</v>
      </c>
      <c r="Y121" s="2" t="s">
        <v>1608</v>
      </c>
      <c r="Z121" s="2" t="s">
        <v>1609</v>
      </c>
      <c r="AB121" s="2" t="b">
        <v>0</v>
      </c>
      <c r="AC121" s="2" t="s">
        <v>655</v>
      </c>
      <c r="AD121" s="2" t="s">
        <v>1610</v>
      </c>
      <c r="AE121" s="2" t="s">
        <v>1610</v>
      </c>
      <c r="AF121" s="2" t="s">
        <v>601</v>
      </c>
      <c r="AG121" s="51" t="s">
        <v>1611</v>
      </c>
      <c r="AH121" s="3">
        <v>45975.6699366088</v>
      </c>
      <c r="AI121" s="3">
        <v>45975.861637997688</v>
      </c>
      <c r="AL121" s="3" t="s">
        <v>47</v>
      </c>
      <c r="AS121">
        <v>49600</v>
      </c>
      <c r="AT121">
        <v>0</v>
      </c>
      <c r="AU121" t="s">
        <v>1612</v>
      </c>
      <c r="AV121" t="s">
        <v>1613</v>
      </c>
      <c r="AW121" t="s">
        <v>1043</v>
      </c>
      <c r="AX121" t="s">
        <v>1614</v>
      </c>
    </row>
    <row r="122" spans="1:50">
      <c r="A122" s="2" t="s">
        <v>1615</v>
      </c>
      <c r="B122" s="2" t="s">
        <v>1616</v>
      </c>
      <c r="C122" s="2" t="s">
        <v>1589</v>
      </c>
      <c r="D122" s="2" t="s">
        <v>1590</v>
      </c>
      <c r="E122" s="2" t="s">
        <v>1591</v>
      </c>
      <c r="I122" s="2" t="s">
        <v>608</v>
      </c>
      <c r="J122" s="2" t="s">
        <v>623</v>
      </c>
      <c r="K122" s="2" t="s">
        <v>624</v>
      </c>
      <c r="L122" s="2" t="b">
        <v>0</v>
      </c>
      <c r="N122" s="2" t="s">
        <v>817</v>
      </c>
      <c r="O122" s="2" t="s">
        <v>627</v>
      </c>
      <c r="Q122" s="2">
        <v>95072.015625</v>
      </c>
      <c r="R122" s="6">
        <v>211.60641490740741</v>
      </c>
      <c r="S122" s="5">
        <v>45724.481567430557</v>
      </c>
      <c r="T122" s="5">
        <v>54789.541666666664</v>
      </c>
      <c r="U122" s="2" t="s">
        <v>610</v>
      </c>
      <c r="V122" s="2">
        <v>120</v>
      </c>
      <c r="W122" s="2" t="s">
        <v>917</v>
      </c>
      <c r="X122" s="2" t="s">
        <v>941</v>
      </c>
      <c r="Y122" s="2" t="s">
        <v>1617</v>
      </c>
      <c r="Z122" s="2" t="s">
        <v>1618</v>
      </c>
      <c r="AB122" s="2" t="b">
        <v>0</v>
      </c>
      <c r="AC122" s="2" t="s">
        <v>655</v>
      </c>
      <c r="AD122" s="2" t="s">
        <v>1619</v>
      </c>
      <c r="AE122" s="58" t="s">
        <v>632</v>
      </c>
      <c r="AF122" s="2" t="s">
        <v>601</v>
      </c>
      <c r="AG122" s="51" t="s">
        <v>1620</v>
      </c>
      <c r="AH122" s="3">
        <v>45975.653439212962</v>
      </c>
      <c r="AI122" s="3">
        <v>45975.844388287034</v>
      </c>
      <c r="AL122" s="3" t="s">
        <v>47</v>
      </c>
      <c r="AS122">
        <v>0</v>
      </c>
      <c r="AT122">
        <v>0</v>
      </c>
      <c r="AU122" t="s">
        <v>1612</v>
      </c>
      <c r="AV122" t="s">
        <v>1621</v>
      </c>
      <c r="AW122" t="s">
        <v>1108</v>
      </c>
      <c r="AX122" t="s">
        <v>1622</v>
      </c>
    </row>
    <row r="123" spans="1:50">
      <c r="A123" s="2" t="s">
        <v>1623</v>
      </c>
      <c r="B123" s="2" t="s">
        <v>1624</v>
      </c>
      <c r="C123" s="2" t="s">
        <v>1625</v>
      </c>
      <c r="D123" s="2" t="s">
        <v>1626</v>
      </c>
      <c r="E123" s="2" t="s">
        <v>1627</v>
      </c>
      <c r="I123" s="2" t="s">
        <v>608</v>
      </c>
      <c r="J123" s="2" t="s">
        <v>623</v>
      </c>
      <c r="K123" s="2" t="s">
        <v>624</v>
      </c>
      <c r="L123" s="2" t="b">
        <v>0</v>
      </c>
      <c r="M123" s="2" t="s">
        <v>761</v>
      </c>
      <c r="N123" s="2" t="s">
        <v>762</v>
      </c>
      <c r="O123" s="2" t="s">
        <v>763</v>
      </c>
      <c r="Q123" s="2">
        <v>34695.1640625</v>
      </c>
      <c r="R123" s="6">
        <v>90.437491203703701</v>
      </c>
      <c r="S123" s="5">
        <v>45782.957103125002</v>
      </c>
      <c r="T123" s="5">
        <v>54789.541666666664</v>
      </c>
      <c r="U123" s="2" t="s">
        <v>610</v>
      </c>
      <c r="V123" s="2">
        <v>120</v>
      </c>
      <c r="W123" s="2" t="s">
        <v>628</v>
      </c>
      <c r="X123" s="2" t="s">
        <v>1628</v>
      </c>
      <c r="Y123" s="2" t="s">
        <v>1629</v>
      </c>
      <c r="Z123" s="2" t="s">
        <v>1630</v>
      </c>
      <c r="AB123" s="2" t="b">
        <v>0</v>
      </c>
      <c r="AC123" s="2" t="s">
        <v>655</v>
      </c>
      <c r="AD123" s="2" t="s">
        <v>1631</v>
      </c>
      <c r="AE123" s="2" t="s">
        <v>1631</v>
      </c>
      <c r="AF123" s="2" t="s">
        <v>601</v>
      </c>
      <c r="AG123" s="51" t="s">
        <v>1632</v>
      </c>
      <c r="AH123" s="3">
        <v>45960.419382650463</v>
      </c>
      <c r="AI123" s="3">
        <v>45974.300007650461</v>
      </c>
      <c r="AL123" s="3" t="s">
        <v>768</v>
      </c>
      <c r="AS123">
        <v>0</v>
      </c>
      <c r="AT123">
        <v>0</v>
      </c>
      <c r="AU123" t="s">
        <v>1612</v>
      </c>
      <c r="AV123" t="s">
        <v>1621</v>
      </c>
      <c r="AW123" t="s">
        <v>1108</v>
      </c>
      <c r="AX123" t="s">
        <v>1622</v>
      </c>
    </row>
    <row r="124" spans="1:50">
      <c r="A124" s="2" t="s">
        <v>1633</v>
      </c>
      <c r="B124" s="2" t="s">
        <v>1634</v>
      </c>
      <c r="C124" s="2" t="s">
        <v>1635</v>
      </c>
      <c r="D124" s="2" t="s">
        <v>1636</v>
      </c>
      <c r="E124" s="2" t="s">
        <v>1635</v>
      </c>
      <c r="F124" s="2" t="s">
        <v>1637</v>
      </c>
      <c r="G124" s="2" t="s">
        <v>1638</v>
      </c>
      <c r="H124" s="2" t="s">
        <v>1639</v>
      </c>
      <c r="I124" s="2" t="s">
        <v>608</v>
      </c>
      <c r="J124" s="2" t="s">
        <v>623</v>
      </c>
      <c r="K124" s="2" t="s">
        <v>624</v>
      </c>
      <c r="L124" s="2" t="b">
        <v>0</v>
      </c>
      <c r="N124" s="2" t="s">
        <v>1640</v>
      </c>
      <c r="Q124" s="2">
        <v>179238.03125</v>
      </c>
      <c r="R124" s="6">
        <v>131.7672735763889</v>
      </c>
      <c r="S124" s="5">
        <v>45782.943745115743</v>
      </c>
      <c r="T124" s="5">
        <v>54789.541666666664</v>
      </c>
      <c r="U124" s="2" t="s">
        <v>610</v>
      </c>
      <c r="V124" s="2">
        <v>120</v>
      </c>
      <c r="W124" s="2" t="s">
        <v>628</v>
      </c>
      <c r="X124" s="2" t="s">
        <v>954</v>
      </c>
      <c r="Y124" s="2" t="s">
        <v>1641</v>
      </c>
      <c r="Z124" s="2" t="s">
        <v>1642</v>
      </c>
      <c r="AB124" s="2" t="b">
        <v>0</v>
      </c>
      <c r="AC124" s="2" t="s">
        <v>655</v>
      </c>
      <c r="AE124" s="58" t="s">
        <v>632</v>
      </c>
      <c r="AF124" s="2" t="s">
        <v>601</v>
      </c>
      <c r="AG124" s="51" t="s">
        <v>1643</v>
      </c>
      <c r="AH124" s="3">
        <v>45975.723520833337</v>
      </c>
      <c r="AI124" s="3">
        <v>45975.849782407407</v>
      </c>
      <c r="AL124" s="3" t="s">
        <v>47</v>
      </c>
      <c r="AS124">
        <v>0</v>
      </c>
      <c r="AT124">
        <v>0</v>
      </c>
      <c r="AX124" t="s">
        <v>618</v>
      </c>
    </row>
    <row r="125" spans="1:50">
      <c r="A125" s="2" t="s">
        <v>1644</v>
      </c>
      <c r="B125" s="2" t="s">
        <v>1645</v>
      </c>
      <c r="C125" s="2" t="s">
        <v>1589</v>
      </c>
      <c r="D125" s="2" t="s">
        <v>1590</v>
      </c>
      <c r="E125" s="2" t="s">
        <v>1591</v>
      </c>
      <c r="I125" s="2" t="s">
        <v>608</v>
      </c>
      <c r="J125" s="2" t="s">
        <v>623</v>
      </c>
      <c r="K125" s="2" t="s">
        <v>624</v>
      </c>
      <c r="L125" s="2" t="b">
        <v>0</v>
      </c>
      <c r="M125" s="2" t="s">
        <v>761</v>
      </c>
      <c r="N125" s="2" t="s">
        <v>762</v>
      </c>
      <c r="O125" s="2" t="s">
        <v>763</v>
      </c>
      <c r="Q125" s="2">
        <v>41281.43359375</v>
      </c>
      <c r="R125" s="6">
        <v>130.77599335648148</v>
      </c>
      <c r="S125" s="5">
        <v>45711.907481678238</v>
      </c>
      <c r="T125" s="5">
        <v>54789.541666666664</v>
      </c>
      <c r="U125" s="2" t="s">
        <v>610</v>
      </c>
      <c r="V125" s="2">
        <v>120</v>
      </c>
      <c r="W125" s="2" t="s">
        <v>628</v>
      </c>
      <c r="X125" s="2" t="s">
        <v>629</v>
      </c>
      <c r="Y125" s="2" t="s">
        <v>1646</v>
      </c>
      <c r="Z125" s="2" t="s">
        <v>1647</v>
      </c>
      <c r="AB125" s="2" t="b">
        <v>0</v>
      </c>
      <c r="AC125" s="2" t="s">
        <v>655</v>
      </c>
      <c r="AE125" s="2" t="s">
        <v>1648</v>
      </c>
      <c r="AF125" s="2" t="s">
        <v>601</v>
      </c>
      <c r="AG125" s="51" t="s">
        <v>1649</v>
      </c>
      <c r="AH125" s="3">
        <v>45974.38490459491</v>
      </c>
      <c r="AI125" s="3">
        <v>45975.844557372686</v>
      </c>
      <c r="AL125" s="3" t="s">
        <v>47</v>
      </c>
      <c r="AS125">
        <v>0</v>
      </c>
      <c r="AT125">
        <v>0</v>
      </c>
      <c r="AX125" t="s">
        <v>618</v>
      </c>
    </row>
    <row r="126" spans="1:50">
      <c r="A126" s="2" t="s">
        <v>1650</v>
      </c>
      <c r="B126" s="2" t="s">
        <v>1651</v>
      </c>
      <c r="C126" s="2" t="s">
        <v>1625</v>
      </c>
      <c r="D126" s="2" t="s">
        <v>1626</v>
      </c>
      <c r="E126" s="2" t="s">
        <v>1627</v>
      </c>
      <c r="I126" s="2" t="s">
        <v>608</v>
      </c>
      <c r="J126" s="2" t="s">
        <v>623</v>
      </c>
      <c r="K126" s="2" t="s">
        <v>624</v>
      </c>
      <c r="L126" s="2" t="b">
        <v>0</v>
      </c>
      <c r="M126" s="2" t="s">
        <v>625</v>
      </c>
      <c r="N126" s="2" t="s">
        <v>826</v>
      </c>
      <c r="O126" s="2" t="s">
        <v>627</v>
      </c>
      <c r="Q126" s="2">
        <v>47328.6015625</v>
      </c>
      <c r="R126" s="6">
        <v>104.43284553240741</v>
      </c>
      <c r="S126" s="5">
        <v>45724.478425057867</v>
      </c>
      <c r="T126" s="5">
        <v>54789.541666666664</v>
      </c>
      <c r="U126" s="2" t="s">
        <v>610</v>
      </c>
      <c r="V126" s="2">
        <v>120</v>
      </c>
      <c r="W126" s="2" t="s">
        <v>917</v>
      </c>
      <c r="X126" s="2" t="s">
        <v>918</v>
      </c>
      <c r="Y126" s="2" t="s">
        <v>1652</v>
      </c>
      <c r="Z126" s="2" t="s">
        <v>1653</v>
      </c>
      <c r="AB126" s="2" t="b">
        <v>0</v>
      </c>
      <c r="AC126" s="2" t="s">
        <v>655</v>
      </c>
      <c r="AD126" s="2" t="s">
        <v>1654</v>
      </c>
      <c r="AE126" s="2" t="s">
        <v>1654</v>
      </c>
      <c r="AF126" s="2" t="s">
        <v>601</v>
      </c>
      <c r="AG126" s="51" t="s">
        <v>1655</v>
      </c>
      <c r="AH126" s="3">
        <v>45975.413228969905</v>
      </c>
      <c r="AI126" s="3">
        <v>45975.856191932871</v>
      </c>
      <c r="AL126" s="3" t="s">
        <v>47</v>
      </c>
      <c r="AS126">
        <v>0</v>
      </c>
      <c r="AT126">
        <v>0</v>
      </c>
      <c r="AU126" t="s">
        <v>1612</v>
      </c>
      <c r="AV126" t="s">
        <v>1656</v>
      </c>
      <c r="AW126" t="s">
        <v>1011</v>
      </c>
      <c r="AX126" t="s">
        <v>1657</v>
      </c>
    </row>
    <row r="127" spans="1:50">
      <c r="A127" s="2" t="s">
        <v>1658</v>
      </c>
      <c r="B127" s="2" t="s">
        <v>1659</v>
      </c>
      <c r="C127" s="2" t="s">
        <v>1625</v>
      </c>
      <c r="D127" s="2" t="s">
        <v>1626</v>
      </c>
      <c r="E127" s="2" t="s">
        <v>1627</v>
      </c>
      <c r="F127" s="2" t="s">
        <v>1660</v>
      </c>
      <c r="G127" s="2" t="s">
        <v>1661</v>
      </c>
      <c r="H127" s="2" t="s">
        <v>1662</v>
      </c>
      <c r="I127" s="2" t="s">
        <v>608</v>
      </c>
      <c r="J127" s="2" t="s">
        <v>623</v>
      </c>
      <c r="K127" s="2" t="s">
        <v>624</v>
      </c>
      <c r="L127" s="2" t="b">
        <v>0</v>
      </c>
      <c r="M127" s="2" t="s">
        <v>721</v>
      </c>
      <c r="N127" s="2" t="s">
        <v>1602</v>
      </c>
      <c r="O127" s="2" t="s">
        <v>627</v>
      </c>
      <c r="Q127" s="2">
        <v>73874.515625</v>
      </c>
      <c r="R127" s="6">
        <v>159.66750084490741</v>
      </c>
      <c r="S127" s="5">
        <v>45782.957483495367</v>
      </c>
      <c r="T127" s="5">
        <v>54789.541666666664</v>
      </c>
      <c r="U127" s="2" t="s">
        <v>610</v>
      </c>
      <c r="V127" s="2">
        <v>120</v>
      </c>
      <c r="W127" s="2" t="s">
        <v>628</v>
      </c>
      <c r="X127" s="2" t="s">
        <v>954</v>
      </c>
      <c r="Y127" s="2" t="s">
        <v>1663</v>
      </c>
      <c r="AB127" s="2" t="b">
        <v>0</v>
      </c>
      <c r="AC127" s="2" t="s">
        <v>655</v>
      </c>
      <c r="AD127" s="2" t="s">
        <v>1664</v>
      </c>
      <c r="AE127" s="2" t="s">
        <v>1664</v>
      </c>
      <c r="AF127" s="2" t="s">
        <v>601</v>
      </c>
      <c r="AG127" s="51" t="s">
        <v>1665</v>
      </c>
      <c r="AH127" s="3">
        <v>45975.758270844904</v>
      </c>
      <c r="AI127" s="3">
        <v>45975.758687511574</v>
      </c>
      <c r="AL127" s="3" t="s">
        <v>47</v>
      </c>
      <c r="AS127">
        <v>0</v>
      </c>
      <c r="AT127">
        <v>0</v>
      </c>
      <c r="AU127" t="s">
        <v>1612</v>
      </c>
      <c r="AV127" t="s">
        <v>1656</v>
      </c>
      <c r="AW127" t="s">
        <v>1011</v>
      </c>
      <c r="AX127" t="s">
        <v>1657</v>
      </c>
    </row>
    <row r="128" spans="1:50">
      <c r="A128" s="2" t="s">
        <v>1666</v>
      </c>
      <c r="B128" s="2" t="s">
        <v>1667</v>
      </c>
      <c r="C128" s="2" t="s">
        <v>1589</v>
      </c>
      <c r="D128" s="2" t="s">
        <v>1590</v>
      </c>
      <c r="E128" s="2" t="s">
        <v>1591</v>
      </c>
      <c r="F128" s="2" t="s">
        <v>1668</v>
      </c>
      <c r="G128" s="2" t="s">
        <v>1669</v>
      </c>
      <c r="H128" s="2" t="s">
        <v>1670</v>
      </c>
      <c r="I128" s="2" t="s">
        <v>608</v>
      </c>
      <c r="J128" s="2" t="s">
        <v>623</v>
      </c>
      <c r="K128" s="2" t="s">
        <v>624</v>
      </c>
      <c r="L128" s="2" t="b">
        <v>0</v>
      </c>
      <c r="M128" s="2" t="s">
        <v>721</v>
      </c>
      <c r="N128" s="2" t="s">
        <v>817</v>
      </c>
      <c r="O128" s="2" t="s">
        <v>627</v>
      </c>
      <c r="Q128" s="2">
        <v>82899.3984375</v>
      </c>
      <c r="R128" s="6">
        <v>120.88135833333334</v>
      </c>
      <c r="S128" s="5">
        <v>45782.957907199074</v>
      </c>
      <c r="T128" s="5">
        <v>54789.541666666664</v>
      </c>
      <c r="U128" s="2" t="s">
        <v>610</v>
      </c>
      <c r="V128" s="2">
        <v>120</v>
      </c>
      <c r="W128" s="2" t="s">
        <v>628</v>
      </c>
      <c r="X128" s="2" t="s">
        <v>954</v>
      </c>
      <c r="Y128" s="2" t="s">
        <v>1671</v>
      </c>
      <c r="Z128" s="2" t="s">
        <v>1672</v>
      </c>
      <c r="AB128" s="2" t="b">
        <v>0</v>
      </c>
      <c r="AC128" s="2" t="s">
        <v>655</v>
      </c>
      <c r="AD128" s="2" t="s">
        <v>1673</v>
      </c>
      <c r="AE128" s="2" t="s">
        <v>1673</v>
      </c>
      <c r="AF128" s="2" t="s">
        <v>601</v>
      </c>
      <c r="AG128" s="51" t="s">
        <v>1674</v>
      </c>
      <c r="AH128" s="3">
        <v>45975.41441449074</v>
      </c>
      <c r="AI128" s="3">
        <v>45975.853558009258</v>
      </c>
      <c r="AL128" s="3" t="s">
        <v>47</v>
      </c>
      <c r="AS128">
        <v>0</v>
      </c>
      <c r="AT128">
        <v>0</v>
      </c>
      <c r="AU128" t="s">
        <v>1612</v>
      </c>
      <c r="AV128" t="s">
        <v>1613</v>
      </c>
      <c r="AW128" t="s">
        <v>936</v>
      </c>
      <c r="AX128" t="s">
        <v>1614</v>
      </c>
    </row>
    <row r="129" spans="1:50">
      <c r="A129" s="2" t="s">
        <v>1675</v>
      </c>
      <c r="B129" s="2" t="s">
        <v>1676</v>
      </c>
      <c r="C129" s="2" t="s">
        <v>1625</v>
      </c>
      <c r="D129" s="2" t="s">
        <v>1626</v>
      </c>
      <c r="E129" s="2" t="s">
        <v>1627</v>
      </c>
      <c r="F129" s="2" t="s">
        <v>1677</v>
      </c>
      <c r="G129" s="2" t="s">
        <v>1678</v>
      </c>
      <c r="H129" s="2" t="s">
        <v>1679</v>
      </c>
      <c r="I129" s="2" t="s">
        <v>608</v>
      </c>
      <c r="J129" s="2" t="s">
        <v>623</v>
      </c>
      <c r="K129" s="2" t="s">
        <v>624</v>
      </c>
      <c r="L129" s="2" t="b">
        <v>0</v>
      </c>
      <c r="M129" s="2" t="s">
        <v>721</v>
      </c>
      <c r="N129" s="2" t="s">
        <v>817</v>
      </c>
      <c r="O129" s="2" t="s">
        <v>627</v>
      </c>
      <c r="Q129" s="2">
        <v>54446.33984375</v>
      </c>
      <c r="R129" s="6">
        <v>77.021961296296297</v>
      </c>
      <c r="S129" s="5">
        <v>45723.483717511575</v>
      </c>
      <c r="T129" s="5">
        <v>54789.541666666664</v>
      </c>
      <c r="U129" s="2" t="s">
        <v>610</v>
      </c>
      <c r="V129" s="2">
        <v>120</v>
      </c>
      <c r="W129" s="2" t="s">
        <v>917</v>
      </c>
      <c r="X129" s="2" t="s">
        <v>918</v>
      </c>
      <c r="Y129" s="2" t="s">
        <v>1680</v>
      </c>
      <c r="Z129" s="2" t="s">
        <v>1681</v>
      </c>
      <c r="AB129" s="2" t="b">
        <v>0</v>
      </c>
      <c r="AC129" s="2" t="s">
        <v>655</v>
      </c>
      <c r="AD129" s="2" t="s">
        <v>1682</v>
      </c>
      <c r="AE129" s="58" t="s">
        <v>632</v>
      </c>
      <c r="AF129" s="2" t="s">
        <v>601</v>
      </c>
      <c r="AG129" s="51" t="s">
        <v>1683</v>
      </c>
      <c r="AH129" s="3">
        <v>45974.674880393519</v>
      </c>
      <c r="AI129" s="3">
        <v>45975.853387337964</v>
      </c>
      <c r="AL129" s="3" t="s">
        <v>47</v>
      </c>
      <c r="AS129">
        <v>0</v>
      </c>
      <c r="AT129">
        <v>0</v>
      </c>
      <c r="AU129" t="s">
        <v>1612</v>
      </c>
      <c r="AV129" t="s">
        <v>1613</v>
      </c>
      <c r="AW129" t="s">
        <v>1525</v>
      </c>
      <c r="AX129" t="s">
        <v>1684</v>
      </c>
    </row>
    <row r="130" spans="1:50">
      <c r="A130" s="2" t="s">
        <v>1685</v>
      </c>
      <c r="B130" s="2" t="s">
        <v>1686</v>
      </c>
      <c r="C130" s="2" t="s">
        <v>1687</v>
      </c>
      <c r="D130" s="2" t="s">
        <v>1688</v>
      </c>
      <c r="E130" s="2" t="s">
        <v>1687</v>
      </c>
      <c r="F130" s="2" t="s">
        <v>1689</v>
      </c>
      <c r="G130" s="2" t="s">
        <v>1690</v>
      </c>
      <c r="H130" s="2" t="s">
        <v>1691</v>
      </c>
      <c r="I130" s="2" t="s">
        <v>608</v>
      </c>
      <c r="J130" s="2" t="s">
        <v>623</v>
      </c>
      <c r="K130" s="2" t="s">
        <v>624</v>
      </c>
      <c r="L130" s="2" t="b">
        <v>0</v>
      </c>
      <c r="M130" s="2" t="s">
        <v>1692</v>
      </c>
      <c r="N130" s="2" t="s">
        <v>732</v>
      </c>
      <c r="O130" s="2" t="s">
        <v>627</v>
      </c>
      <c r="Q130" s="2">
        <v>125.47755432128906</v>
      </c>
      <c r="R130" s="6">
        <v>136.17916666666667</v>
      </c>
      <c r="S130" s="5">
        <v>45782.847991909723</v>
      </c>
      <c r="T130" s="5">
        <v>54789.541666666664</v>
      </c>
      <c r="U130" s="2" t="s">
        <v>610</v>
      </c>
      <c r="V130" s="2">
        <v>120</v>
      </c>
      <c r="W130" s="2" t="s">
        <v>628</v>
      </c>
      <c r="X130" s="2" t="s">
        <v>776</v>
      </c>
      <c r="Y130" s="2" t="s">
        <v>1693</v>
      </c>
      <c r="AB130" s="2" t="b">
        <v>0</v>
      </c>
      <c r="AC130" s="2" t="s">
        <v>655</v>
      </c>
      <c r="AE130" s="2" t="s">
        <v>614</v>
      </c>
      <c r="AF130" s="2" t="s">
        <v>601</v>
      </c>
      <c r="AG130" s="51" t="s">
        <v>1694</v>
      </c>
      <c r="AH130" s="3">
        <v>45939.504791666666</v>
      </c>
      <c r="AI130" s="3">
        <v>45939.532106481478</v>
      </c>
      <c r="AL130" s="3" t="s">
        <v>768</v>
      </c>
      <c r="AS130">
        <v>0</v>
      </c>
      <c r="AT130">
        <v>0</v>
      </c>
      <c r="AX130" t="s">
        <v>618</v>
      </c>
    </row>
    <row r="131" spans="1:50">
      <c r="A131" s="2" t="s">
        <v>1695</v>
      </c>
      <c r="B131" s="2" t="s">
        <v>1696</v>
      </c>
      <c r="C131" s="2" t="s">
        <v>1687</v>
      </c>
      <c r="D131" s="2" t="s">
        <v>1697</v>
      </c>
      <c r="E131" s="2" t="s">
        <v>1687</v>
      </c>
      <c r="I131" s="2" t="s">
        <v>608</v>
      </c>
      <c r="J131" s="2" t="s">
        <v>623</v>
      </c>
      <c r="K131" s="2" t="s">
        <v>624</v>
      </c>
      <c r="L131" s="2" t="b">
        <v>0</v>
      </c>
      <c r="M131" s="2" t="s">
        <v>652</v>
      </c>
      <c r="N131" s="2" t="s">
        <v>1698</v>
      </c>
      <c r="O131" s="2" t="s">
        <v>627</v>
      </c>
      <c r="Q131" s="2">
        <v>1.541485071182251</v>
      </c>
      <c r="R131" s="6">
        <v>190.93599218750001</v>
      </c>
      <c r="S131" s="5">
        <v>45945.03037695602</v>
      </c>
      <c r="T131" s="5">
        <v>54789.541666666664</v>
      </c>
      <c r="U131" s="2" t="s">
        <v>610</v>
      </c>
      <c r="V131" s="2">
        <v>120</v>
      </c>
      <c r="W131" s="2" t="s">
        <v>628</v>
      </c>
      <c r="X131" s="2" t="s">
        <v>629</v>
      </c>
      <c r="Y131" s="2" t="s">
        <v>1699</v>
      </c>
      <c r="Z131" s="2" t="s">
        <v>1700</v>
      </c>
      <c r="AB131" s="2" t="b">
        <v>0</v>
      </c>
      <c r="AC131" s="2" t="s">
        <v>655</v>
      </c>
      <c r="AE131" s="2" t="s">
        <v>614</v>
      </c>
      <c r="AF131" s="2" t="s">
        <v>601</v>
      </c>
      <c r="AG131" s="51" t="s">
        <v>1701</v>
      </c>
      <c r="AH131" s="3">
        <v>45971.842447476854</v>
      </c>
      <c r="AI131" s="3">
        <v>45975.460178958332</v>
      </c>
      <c r="AL131" s="3" t="s">
        <v>47</v>
      </c>
      <c r="AS131">
        <v>0</v>
      </c>
      <c r="AT131">
        <v>0</v>
      </c>
      <c r="AX131" t="s">
        <v>618</v>
      </c>
    </row>
    <row r="132" spans="1:50">
      <c r="A132" s="2" t="s">
        <v>1702</v>
      </c>
      <c r="B132" s="2" t="s">
        <v>1703</v>
      </c>
      <c r="C132" s="2" t="s">
        <v>1687</v>
      </c>
      <c r="D132" s="2" t="s">
        <v>1688</v>
      </c>
      <c r="E132" s="2" t="s">
        <v>1687</v>
      </c>
      <c r="I132" s="2" t="s">
        <v>608</v>
      </c>
      <c r="J132" s="2" t="s">
        <v>623</v>
      </c>
      <c r="K132" s="2" t="s">
        <v>624</v>
      </c>
      <c r="L132" s="2" t="b">
        <v>0</v>
      </c>
      <c r="M132" s="2" t="s">
        <v>675</v>
      </c>
      <c r="N132" s="2" t="s">
        <v>676</v>
      </c>
      <c r="O132" s="2" t="s">
        <v>627</v>
      </c>
      <c r="Q132" s="2">
        <v>77.326133728027344</v>
      </c>
      <c r="R132" s="6">
        <v>31.117743055555554</v>
      </c>
      <c r="S132" s="5">
        <v>45782.849133888885</v>
      </c>
      <c r="T132" s="5">
        <v>54789.541666666664</v>
      </c>
      <c r="U132" s="2" t="s">
        <v>610</v>
      </c>
      <c r="V132" s="2">
        <v>120</v>
      </c>
      <c r="W132" s="2" t="s">
        <v>628</v>
      </c>
      <c r="X132" s="2" t="s">
        <v>629</v>
      </c>
      <c r="Y132" s="2" t="s">
        <v>1704</v>
      </c>
      <c r="AB132" s="2" t="b">
        <v>0</v>
      </c>
      <c r="AC132" s="2" t="s">
        <v>655</v>
      </c>
      <c r="AE132" s="58" t="s">
        <v>632</v>
      </c>
      <c r="AF132" s="2" t="s">
        <v>601</v>
      </c>
      <c r="AG132" s="51" t="s">
        <v>1705</v>
      </c>
      <c r="AH132" s="3">
        <v>45971.759019351855</v>
      </c>
      <c r="AI132" s="3">
        <v>45975.793799444444</v>
      </c>
      <c r="AL132" s="3" t="s">
        <v>47</v>
      </c>
      <c r="AS132">
        <v>0</v>
      </c>
      <c r="AT132">
        <v>0</v>
      </c>
      <c r="AX132" t="s">
        <v>618</v>
      </c>
    </row>
    <row r="133" spans="1:50">
      <c r="A133" s="2" t="s">
        <v>1706</v>
      </c>
      <c r="B133" s="2" t="s">
        <v>1707</v>
      </c>
      <c r="C133" s="2" t="s">
        <v>1687</v>
      </c>
      <c r="D133" s="2" t="s">
        <v>1688</v>
      </c>
      <c r="E133" s="2" t="s">
        <v>1687</v>
      </c>
      <c r="I133" s="2" t="s">
        <v>608</v>
      </c>
      <c r="J133" s="2" t="s">
        <v>623</v>
      </c>
      <c r="K133" s="2" t="s">
        <v>624</v>
      </c>
      <c r="L133" s="2" t="b">
        <v>0</v>
      </c>
      <c r="M133" s="2" t="s">
        <v>1708</v>
      </c>
      <c r="N133" s="2" t="s">
        <v>1709</v>
      </c>
      <c r="O133" s="2" t="s">
        <v>627</v>
      </c>
      <c r="Q133" s="2">
        <v>12.855100631713867</v>
      </c>
      <c r="R133" s="6">
        <v>92.62222222222222</v>
      </c>
      <c r="S133" s="5">
        <v>45782.852901840277</v>
      </c>
      <c r="T133" s="5">
        <v>54789.541666666664</v>
      </c>
      <c r="U133" s="2" t="s">
        <v>610</v>
      </c>
      <c r="V133" s="2">
        <v>120</v>
      </c>
      <c r="W133" s="2" t="s">
        <v>764</v>
      </c>
      <c r="X133" s="2" t="s">
        <v>765</v>
      </c>
      <c r="Y133" s="2" t="s">
        <v>1710</v>
      </c>
      <c r="Z133" s="2" t="s">
        <v>1711</v>
      </c>
      <c r="AB133" s="2" t="b">
        <v>0</v>
      </c>
      <c r="AC133" s="2" t="s">
        <v>655</v>
      </c>
      <c r="AE133" s="2" t="s">
        <v>614</v>
      </c>
      <c r="AF133" s="2" t="s">
        <v>601</v>
      </c>
      <c r="AG133" s="51" t="s">
        <v>1712</v>
      </c>
      <c r="AH133" s="3">
        <v>45972.691922025464</v>
      </c>
      <c r="AI133" s="3">
        <v>45975.847280821756</v>
      </c>
      <c r="AL133" s="3" t="s">
        <v>47</v>
      </c>
      <c r="AS133">
        <v>0</v>
      </c>
      <c r="AT133">
        <v>0</v>
      </c>
      <c r="AX133" t="s">
        <v>618</v>
      </c>
    </row>
    <row r="134" spans="1:50">
      <c r="A134" s="2" t="s">
        <v>1713</v>
      </c>
      <c r="B134" s="2" t="s">
        <v>1714</v>
      </c>
      <c r="C134" s="2" t="s">
        <v>696</v>
      </c>
      <c r="D134" s="2" t="s">
        <v>697</v>
      </c>
      <c r="E134" s="2" t="s">
        <v>696</v>
      </c>
      <c r="I134" s="2" t="s">
        <v>608</v>
      </c>
      <c r="L134" s="2" t="b">
        <v>0</v>
      </c>
      <c r="Q134" s="2">
        <v>0</v>
      </c>
      <c r="R134" s="6">
        <v>297.5</v>
      </c>
      <c r="S134" s="5">
        <v>45929.437945127313</v>
      </c>
      <c r="T134" s="5">
        <v>54789.541666666664</v>
      </c>
      <c r="U134" s="2" t="s">
        <v>638</v>
      </c>
      <c r="V134" s="2">
        <v>-1</v>
      </c>
      <c r="AB134" s="2" t="b">
        <v>0</v>
      </c>
      <c r="AC134" s="2" t="s">
        <v>639</v>
      </c>
      <c r="AF134" s="2" t="s">
        <v>615</v>
      </c>
      <c r="AG134" s="51" t="s">
        <v>1715</v>
      </c>
      <c r="AS134">
        <v>0</v>
      </c>
      <c r="AT134">
        <v>0</v>
      </c>
      <c r="AX134" t="s">
        <v>618</v>
      </c>
    </row>
    <row r="135" spans="1:50">
      <c r="A135" s="2" t="s">
        <v>1716</v>
      </c>
      <c r="B135" s="2" t="s">
        <v>1717</v>
      </c>
      <c r="C135" s="2" t="s">
        <v>1718</v>
      </c>
      <c r="D135" s="2" t="s">
        <v>1719</v>
      </c>
      <c r="E135" s="2" t="s">
        <v>1718</v>
      </c>
      <c r="I135" s="2" t="s">
        <v>608</v>
      </c>
      <c r="L135" s="2" t="b">
        <v>0</v>
      </c>
      <c r="Q135" s="2">
        <v>0</v>
      </c>
      <c r="R135" s="6">
        <v>0</v>
      </c>
      <c r="S135" s="5">
        <v>45803.955554074077</v>
      </c>
      <c r="T135" s="5">
        <v>54789.541666666664</v>
      </c>
      <c r="U135" s="2" t="s">
        <v>1720</v>
      </c>
      <c r="V135" s="2">
        <v>10022</v>
      </c>
      <c r="Y135" s="2" t="s">
        <v>1721</v>
      </c>
      <c r="Z135" s="2"/>
      <c r="AA135" s="2"/>
      <c r="AB135" s="2" t="b">
        <v>0</v>
      </c>
      <c r="AC135" s="2" t="s">
        <v>1585</v>
      </c>
      <c r="AD135" s="2" t="s">
        <v>1722</v>
      </c>
      <c r="AF135" s="2" t="s">
        <v>615</v>
      </c>
      <c r="AG135" s="51"/>
      <c r="AS135">
        <v>0</v>
      </c>
      <c r="AT135">
        <v>0</v>
      </c>
      <c r="AX135" t="s">
        <v>618</v>
      </c>
    </row>
    <row r="136" spans="1:50">
      <c r="A136" s="2" t="s">
        <v>1723</v>
      </c>
      <c r="B136" s="2" t="s">
        <v>1724</v>
      </c>
      <c r="C136" s="2" t="s">
        <v>1589</v>
      </c>
      <c r="D136" s="2" t="s">
        <v>1590</v>
      </c>
      <c r="E136" s="2" t="s">
        <v>1591</v>
      </c>
      <c r="I136" s="2" t="s">
        <v>608</v>
      </c>
      <c r="J136" s="2" t="s">
        <v>623</v>
      </c>
      <c r="K136" s="2" t="s">
        <v>624</v>
      </c>
      <c r="L136" s="2" t="b">
        <v>0</v>
      </c>
      <c r="M136" s="2" t="s">
        <v>1725</v>
      </c>
      <c r="N136" s="2" t="s">
        <v>1726</v>
      </c>
      <c r="Q136" s="2">
        <v>178227.3125</v>
      </c>
      <c r="R136" s="6">
        <v>130.24257331018518</v>
      </c>
      <c r="S136" s="5">
        <v>45807.561648356481</v>
      </c>
      <c r="T136" s="5">
        <v>54789.541666666664</v>
      </c>
      <c r="U136" s="2" t="s">
        <v>610</v>
      </c>
      <c r="V136" s="2">
        <v>120</v>
      </c>
      <c r="W136" s="2" t="s">
        <v>628</v>
      </c>
      <c r="X136" s="2" t="s">
        <v>1727</v>
      </c>
      <c r="Y136" s="2" t="s">
        <v>1728</v>
      </c>
      <c r="Z136" s="2" t="s">
        <v>1642</v>
      </c>
      <c r="AB136" s="2" t="b">
        <v>0</v>
      </c>
      <c r="AC136" s="2" t="s">
        <v>655</v>
      </c>
      <c r="AE136" s="58" t="s">
        <v>632</v>
      </c>
      <c r="AF136" s="2" t="s">
        <v>601</v>
      </c>
      <c r="AG136" s="51" t="s">
        <v>1729</v>
      </c>
      <c r="AH136" s="3">
        <v>45928.838159722225</v>
      </c>
      <c r="AI136" s="3">
        <v>45932.053229166668</v>
      </c>
      <c r="AL136" s="3" t="s">
        <v>768</v>
      </c>
      <c r="AS136">
        <v>0</v>
      </c>
      <c r="AT136">
        <v>0</v>
      </c>
      <c r="AX136" t="s">
        <v>618</v>
      </c>
    </row>
    <row r="137" spans="1:50">
      <c r="A137" s="2" t="s">
        <v>1730</v>
      </c>
      <c r="B137" s="2" t="s">
        <v>1731</v>
      </c>
      <c r="C137" s="2" t="s">
        <v>1732</v>
      </c>
      <c r="D137" s="2" t="s">
        <v>1733</v>
      </c>
      <c r="E137" s="2" t="s">
        <v>1732</v>
      </c>
      <c r="I137" s="2" t="s">
        <v>608</v>
      </c>
      <c r="L137" s="2" t="b">
        <v>0</v>
      </c>
      <c r="Q137" s="2">
        <v>0</v>
      </c>
      <c r="R137" s="6">
        <v>0</v>
      </c>
      <c r="S137" s="5">
        <v>45889.420082326389</v>
      </c>
      <c r="T137" s="5">
        <v>54789.541666666664</v>
      </c>
      <c r="U137" s="2" t="s">
        <v>638</v>
      </c>
      <c r="V137" s="2">
        <v>-1</v>
      </c>
      <c r="AB137" s="2" t="b">
        <v>0</v>
      </c>
      <c r="AC137" s="2" t="s">
        <v>639</v>
      </c>
      <c r="AD137" s="2" t="s">
        <v>603</v>
      </c>
      <c r="AF137" s="2" t="s">
        <v>615</v>
      </c>
      <c r="AS137">
        <v>0</v>
      </c>
      <c r="AT137">
        <v>0</v>
      </c>
      <c r="AX137" t="s">
        <v>618</v>
      </c>
    </row>
    <row r="138" spans="1:50">
      <c r="A138" s="2" t="s">
        <v>1734</v>
      </c>
      <c r="B138" s="2" t="s">
        <v>1735</v>
      </c>
      <c r="C138" s="2" t="s">
        <v>1736</v>
      </c>
      <c r="D138" s="2" t="s">
        <v>1737</v>
      </c>
      <c r="E138" s="2" t="s">
        <v>1736</v>
      </c>
      <c r="I138" s="2" t="s">
        <v>608</v>
      </c>
      <c r="L138" s="2" t="b">
        <v>0</v>
      </c>
      <c r="Q138" s="2">
        <v>0</v>
      </c>
      <c r="R138" s="6">
        <v>0</v>
      </c>
      <c r="S138" s="5">
        <v>45889.423682962966</v>
      </c>
      <c r="T138" s="5">
        <v>54789.541666666664</v>
      </c>
      <c r="U138" s="2" t="s">
        <v>638</v>
      </c>
      <c r="V138" s="2">
        <v>-1</v>
      </c>
      <c r="AB138" s="2" t="b">
        <v>0</v>
      </c>
      <c r="AC138" s="2" t="s">
        <v>639</v>
      </c>
      <c r="AD138" s="2" t="s">
        <v>1738</v>
      </c>
      <c r="AF138" s="2" t="s">
        <v>615</v>
      </c>
      <c r="AS138">
        <v>0</v>
      </c>
      <c r="AT138">
        <v>0</v>
      </c>
      <c r="AX138" t="s">
        <v>618</v>
      </c>
    </row>
    <row r="139" spans="1:50">
      <c r="A139" s="2" t="s">
        <v>1739</v>
      </c>
      <c r="B139" s="2" t="s">
        <v>1740</v>
      </c>
      <c r="C139" s="2" t="s">
        <v>1687</v>
      </c>
      <c r="D139" s="2" t="s">
        <v>1688</v>
      </c>
      <c r="E139" s="2" t="s">
        <v>1687</v>
      </c>
      <c r="I139" s="2" t="s">
        <v>608</v>
      </c>
      <c r="L139" s="2" t="b">
        <v>0</v>
      </c>
      <c r="Q139" s="2">
        <v>0</v>
      </c>
      <c r="R139" s="6">
        <v>0</v>
      </c>
      <c r="S139" s="5">
        <v>45889.423059421293</v>
      </c>
      <c r="T139" s="5">
        <v>54789.541666666664</v>
      </c>
      <c r="U139" s="2" t="s">
        <v>638</v>
      </c>
      <c r="V139" s="2">
        <v>-1</v>
      </c>
      <c r="AB139" s="2" t="b">
        <v>0</v>
      </c>
      <c r="AC139" s="2" t="s">
        <v>639</v>
      </c>
      <c r="AD139" s="2" t="s">
        <v>1741</v>
      </c>
      <c r="AF139" s="2" t="s">
        <v>615</v>
      </c>
      <c r="AS139">
        <v>0</v>
      </c>
      <c r="AT139">
        <v>0</v>
      </c>
      <c r="AX139" t="s">
        <v>618</v>
      </c>
    </row>
    <row r="140" spans="1:50">
      <c r="A140" s="2" t="s">
        <v>1742</v>
      </c>
      <c r="B140" s="2" t="s">
        <v>1743</v>
      </c>
      <c r="C140" s="2" t="s">
        <v>1744</v>
      </c>
      <c r="D140" s="2" t="s">
        <v>1745</v>
      </c>
      <c r="E140" s="2" t="s">
        <v>1744</v>
      </c>
      <c r="I140" s="2" t="s">
        <v>608</v>
      </c>
      <c r="L140" s="2" t="b">
        <v>0</v>
      </c>
      <c r="Q140" s="2">
        <v>0</v>
      </c>
      <c r="R140" s="6">
        <v>0</v>
      </c>
      <c r="S140" s="5">
        <v>45889.424343900464</v>
      </c>
      <c r="T140" s="5">
        <v>54789.541666666664</v>
      </c>
      <c r="U140" s="2" t="s">
        <v>638</v>
      </c>
      <c r="V140" s="2">
        <v>-1</v>
      </c>
      <c r="AB140" s="2" t="b">
        <v>0</v>
      </c>
      <c r="AC140" s="2" t="s">
        <v>639</v>
      </c>
      <c r="AF140" s="2" t="s">
        <v>615</v>
      </c>
      <c r="AS140">
        <v>0</v>
      </c>
      <c r="AT140">
        <v>0</v>
      </c>
      <c r="AX140" t="s">
        <v>618</v>
      </c>
    </row>
    <row r="141" spans="1:50">
      <c r="A141" s="2" t="s">
        <v>1746</v>
      </c>
      <c r="B141" s="2" t="s">
        <v>1747</v>
      </c>
      <c r="C141" s="2" t="s">
        <v>1589</v>
      </c>
      <c r="D141" s="2" t="s">
        <v>1590</v>
      </c>
      <c r="E141" s="2" t="s">
        <v>1591</v>
      </c>
      <c r="I141" s="2" t="s">
        <v>608</v>
      </c>
      <c r="L141" s="2" t="b">
        <v>0</v>
      </c>
      <c r="Q141" s="2">
        <v>0</v>
      </c>
      <c r="R141" s="6">
        <v>0</v>
      </c>
      <c r="S141" s="5">
        <v>45889.4225243287</v>
      </c>
      <c r="T141" s="5">
        <v>54789.541666666664</v>
      </c>
      <c r="U141" s="2" t="s">
        <v>638</v>
      </c>
      <c r="V141" s="2">
        <v>-1</v>
      </c>
      <c r="AB141" s="2" t="b">
        <v>0</v>
      </c>
      <c r="AC141" s="2" t="s">
        <v>639</v>
      </c>
      <c r="AD141" s="2" t="s">
        <v>1748</v>
      </c>
      <c r="AF141" s="2" t="s">
        <v>615</v>
      </c>
      <c r="AS141">
        <v>0</v>
      </c>
      <c r="AT141">
        <v>0</v>
      </c>
      <c r="AX141" t="s">
        <v>618</v>
      </c>
    </row>
  </sheetData>
  <phoneticPr fontId="14" type="noConversion"/>
  <pageMargins left="0.75" right="0.75" top="1" bottom="1" header="0.5" footer="0.5"/>
  <pageSetup fitToHeight="100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154"/>
  <sheetViews>
    <sheetView showGridLines="0" tabSelected="1" workbookViewId="0">
      <pane ySplit="7" topLeftCell="A8" activePane="bottomLeft" state="frozen"/>
      <selection pane="bottomLeft"/>
    </sheetView>
  </sheetViews>
  <sheetFormatPr defaultColWidth="9.140625" defaultRowHeight="16.5"/>
  <cols>
    <col min="1" max="2" width="25.42578125" style="10" customWidth="1"/>
    <col min="3" max="3" width="25.42578125" style="10" hidden="1" customWidth="1"/>
    <col min="4" max="4" width="22.85546875" style="10" bestFit="1" customWidth="1"/>
    <col min="5" max="5" width="22.42578125" style="10" bestFit="1" customWidth="1"/>
    <col min="6" max="6" width="20.140625" style="10" bestFit="1" customWidth="1"/>
    <col min="7" max="7" width="16.140625" style="10" bestFit="1" customWidth="1"/>
    <col min="8" max="9" width="21.42578125" style="10" bestFit="1" customWidth="1"/>
    <col min="10" max="10" width="46.42578125" style="10" bestFit="1" customWidth="1"/>
    <col min="11" max="11" width="27" style="10" bestFit="1" customWidth="1"/>
    <col min="12" max="12" width="24.42578125" style="10" bestFit="1" customWidth="1"/>
    <col min="13" max="13" width="27.42578125" style="10" bestFit="1" customWidth="1"/>
    <col min="14" max="15" width="25" style="10" bestFit="1" customWidth="1"/>
    <col min="16" max="16" width="28.42578125" style="10" bestFit="1" customWidth="1"/>
    <col min="17" max="17" width="30.42578125" style="10" customWidth="1"/>
    <col min="18" max="18" width="17.42578125" style="10" bestFit="1" customWidth="1"/>
    <col min="19" max="19" width="23.42578125" style="10" bestFit="1" customWidth="1"/>
    <col min="20" max="20" width="15.140625" style="10" bestFit="1" customWidth="1"/>
    <col min="21" max="21" width="18.42578125" style="10" bestFit="1" customWidth="1"/>
    <col min="22" max="22" width="28.42578125" style="10" bestFit="1" customWidth="1"/>
    <col min="23" max="23" width="9.42578125" style="10" bestFit="1" customWidth="1"/>
    <col min="24" max="24" width="22.42578125" style="10" bestFit="1" customWidth="1"/>
    <col min="25" max="25" width="22.85546875" style="15" bestFit="1" customWidth="1"/>
    <col min="26" max="26" width="22.42578125" style="10" bestFit="1" customWidth="1"/>
    <col min="27" max="27" width="24" style="10" bestFit="1" customWidth="1"/>
    <col min="28" max="28" width="32" style="10" customWidth="1"/>
    <col min="29" max="29" width="24.140625" style="10" customWidth="1"/>
    <col min="30" max="30" width="24.42578125" style="10" customWidth="1"/>
    <col min="31" max="31" width="20.42578125" style="10" customWidth="1"/>
    <col min="32" max="32" width="23.42578125" style="10" customWidth="1"/>
    <col min="33" max="16384" width="9.140625" style="10"/>
  </cols>
  <sheetData>
    <row r="1" spans="1:34" s="28" customFormat="1" ht="25.5" customHeight="1">
      <c r="A1" s="27" t="s">
        <v>1749</v>
      </c>
      <c r="D1" s="29">
        <f>Data!B2</f>
        <v>45975.862932974538</v>
      </c>
      <c r="I1" s="29"/>
      <c r="K1" s="29"/>
      <c r="L1" s="30"/>
      <c r="M1" s="31"/>
      <c r="Y1" s="47"/>
    </row>
    <row r="2" spans="1:34" ht="25.5" customHeight="1">
      <c r="A2" s="32" t="str">
        <f>Data!B1</f>
        <v>United Civil Construction Limited</v>
      </c>
      <c r="I2" s="33"/>
      <c r="J2" s="33"/>
      <c r="K2" s="33"/>
      <c r="L2" s="34"/>
      <c r="M2" s="35"/>
    </row>
    <row r="3" spans="1:34" ht="17.45" customHeight="1">
      <c r="A3" s="16"/>
    </row>
    <row r="4" spans="1:34" ht="17.45" customHeight="1">
      <c r="A4" s="38" t="s">
        <v>1750</v>
      </c>
      <c r="B4" s="40" t="str">
        <f>Data!B3</f>
        <v>Pacific/Auckland</v>
      </c>
      <c r="C4" s="46"/>
      <c r="D4" s="36"/>
      <c r="E4" s="36"/>
      <c r="F4" s="36"/>
      <c r="G4" s="36"/>
      <c r="H4" s="36"/>
    </row>
    <row r="5" spans="1:34" ht="17.45" customHeight="1">
      <c r="A5" s="38" t="s">
        <v>1751</v>
      </c>
      <c r="B5" s="40" t="str">
        <f>Data!B4</f>
        <v>km</v>
      </c>
      <c r="C5" s="46"/>
      <c r="D5" s="37"/>
      <c r="E5" s="37"/>
      <c r="F5" s="37"/>
      <c r="G5" s="37"/>
      <c r="H5" s="37"/>
      <c r="I5" s="17"/>
      <c r="S5" s="11"/>
    </row>
    <row r="6" spans="1:34" ht="17.45" customHeight="1"/>
    <row r="7" spans="1:34" s="26" customFormat="1" ht="17.45" customHeight="1">
      <c r="A7" s="25" t="s">
        <v>1752</v>
      </c>
      <c r="B7" s="25" t="s">
        <v>1753</v>
      </c>
      <c r="C7" s="25" t="s">
        <v>426</v>
      </c>
      <c r="D7" s="25" t="s">
        <v>1754</v>
      </c>
      <c r="E7" s="25" t="s">
        <v>1755</v>
      </c>
      <c r="F7" s="25" t="s">
        <v>1756</v>
      </c>
      <c r="G7" s="25" t="s">
        <v>1757</v>
      </c>
      <c r="H7" s="25" t="s">
        <v>1758</v>
      </c>
      <c r="I7" s="25" t="s">
        <v>281</v>
      </c>
      <c r="J7" s="25" t="s">
        <v>424</v>
      </c>
      <c r="K7" s="25" t="s">
        <v>425</v>
      </c>
      <c r="L7" s="25" t="s">
        <v>1759</v>
      </c>
      <c r="M7" s="25" t="s">
        <v>1760</v>
      </c>
      <c r="N7" s="25" t="s">
        <v>1761</v>
      </c>
      <c r="O7" s="25" t="s">
        <v>1762</v>
      </c>
      <c r="P7" s="25" t="s">
        <v>1763</v>
      </c>
      <c r="Q7" s="25" t="s">
        <v>428</v>
      </c>
      <c r="R7" s="25" t="s">
        <v>1764</v>
      </c>
      <c r="S7" s="25" t="s">
        <v>1765</v>
      </c>
      <c r="T7" s="25" t="s">
        <v>1766</v>
      </c>
      <c r="U7" s="25" t="s">
        <v>1767</v>
      </c>
      <c r="V7" s="25" t="s">
        <v>1768</v>
      </c>
      <c r="W7" s="25" t="s">
        <v>0</v>
      </c>
      <c r="X7" s="25" t="s">
        <v>1769</v>
      </c>
      <c r="Y7" s="48" t="s">
        <v>1770</v>
      </c>
      <c r="Z7" s="25" t="s">
        <v>1771</v>
      </c>
      <c r="AA7" s="25" t="s">
        <v>362</v>
      </c>
      <c r="AB7" s="25" t="s">
        <v>1772</v>
      </c>
      <c r="AC7" s="25"/>
      <c r="AD7" s="25"/>
      <c r="AE7" s="25"/>
      <c r="AF7" s="25"/>
      <c r="AG7" s="25"/>
      <c r="AH7" s="25"/>
    </row>
    <row r="8" spans="1:34">
      <c r="A8" s="18" t="str">
        <f>Data!A9</f>
        <v>1</v>
      </c>
      <c r="B8" s="18" t="str">
        <f>Data!C9</f>
        <v>Vehicle, EV/Other Management</v>
      </c>
      <c r="C8" s="18" t="str">
        <f>Data!B9</f>
        <v>b2F2</v>
      </c>
      <c r="D8" s="18">
        <f>Data!F9</f>
        <v>0</v>
      </c>
      <c r="E8" s="18">
        <f>Data!G9</f>
        <v>0</v>
      </c>
      <c r="F8" s="18">
        <f>Data!H9</f>
        <v>0</v>
      </c>
      <c r="G8" s="18" t="str">
        <f>Data!I9</f>
        <v>Standard Hours</v>
      </c>
      <c r="H8" s="18">
        <f>Data!K9</f>
        <v>0</v>
      </c>
      <c r="I8" s="18" t="b">
        <f>Data!L9</f>
        <v>0</v>
      </c>
      <c r="J8" s="19">
        <f>Data!N9</f>
        <v>0</v>
      </c>
      <c r="K8" s="19">
        <f>Data!O9</f>
        <v>0</v>
      </c>
      <c r="L8" s="20">
        <f>Data!Q9</f>
        <v>0</v>
      </c>
      <c r="M8" s="21">
        <f>Data!R9</f>
        <v>0</v>
      </c>
      <c r="N8" s="22">
        <f>Data!S9</f>
        <v>45948.893386898148</v>
      </c>
      <c r="O8" s="22">
        <f>Data!T9</f>
        <v>54789.541666666664</v>
      </c>
      <c r="P8" s="23" t="b">
        <f>OR(Data!$B$2&lt;Data!S9,Data!$B$2&gt;Data!T9)</f>
        <v>0</v>
      </c>
      <c r="Q8" s="23" t="str">
        <f>Data!J9</f>
        <v>Terminate Mode,UI</v>
      </c>
      <c r="R8" s="18" t="str">
        <f>Data!U9</f>
        <v>Version 9</v>
      </c>
      <c r="S8" s="18" t="str">
        <f>CONCATENATE(Data!V9,".",Data!W9,".",Data!X9)</f>
        <v>120.0.0</v>
      </c>
      <c r="T8" s="18" t="str">
        <f>Data!Y9</f>
        <v>G9W1PJSDBFNV</v>
      </c>
      <c r="U8" s="18">
        <f>Data!Z9</f>
        <v>0</v>
      </c>
      <c r="V8" s="18">
        <f>Data!AA9</f>
        <v>0</v>
      </c>
      <c r="W8" s="18">
        <f>Data!AD9</f>
        <v>0</v>
      </c>
      <c r="X8" s="18" t="str">
        <f>Data!AF9</f>
        <v>UTC</v>
      </c>
      <c r="Y8" s="24" t="str">
        <f>IF(ISBLANK(Data!AG9),"",Data!AG9)</f>
        <v/>
      </c>
      <c r="Z8" s="18">
        <f>Data!AL9</f>
        <v>0</v>
      </c>
      <c r="AA8" s="22">
        <f>Data!AH9</f>
        <v>0</v>
      </c>
      <c r="AB8" s="22" t="str">
        <f>IF(ISBLANK(Data!AI9),"",Data!AI9)</f>
        <v/>
      </c>
    </row>
    <row r="9" spans="1:34">
      <c r="A9" s="18" t="str">
        <f>Data!A10</f>
        <v>103</v>
      </c>
      <c r="B9" s="18" t="str">
        <f>Data!C10</f>
        <v>Digger, Excavator/Tradestaff, Machines, Trade Staff</v>
      </c>
      <c r="C9" s="18" t="str">
        <f>Data!B10</f>
        <v>b161</v>
      </c>
      <c r="D9" s="18">
        <f>Data!F10</f>
        <v>0</v>
      </c>
      <c r="E9" s="18">
        <f>Data!G10</f>
        <v>0</v>
      </c>
      <c r="F9" s="18">
        <f>Data!H10</f>
        <v>0</v>
      </c>
      <c r="G9" s="18" t="str">
        <f>Data!I10</f>
        <v>Standard Hours</v>
      </c>
      <c r="H9" s="18" t="str">
        <f>Data!K10</f>
        <v>Stopped</v>
      </c>
      <c r="I9" s="18" t="b">
        <f>Data!L10</f>
        <v>0</v>
      </c>
      <c r="J9" s="19" t="str">
        <f>Data!N10</f>
        <v>Channel Infrastructure: 41 Mair Road, Marsden Point 0171, New Zealand</v>
      </c>
      <c r="K9" s="19" t="str">
        <f>Data!O10</f>
        <v>Project</v>
      </c>
      <c r="L9" s="20">
        <f>Data!Q10</f>
        <v>283.65957641601563</v>
      </c>
      <c r="M9" s="21">
        <f>Data!R10</f>
        <v>348.29408023148147</v>
      </c>
      <c r="N9" s="22">
        <f>Data!S10</f>
        <v>45782.820605104163</v>
      </c>
      <c r="O9" s="22">
        <f>Data!T10</f>
        <v>54789.541666666664</v>
      </c>
      <c r="P9" s="23" t="b">
        <f>OR(Data!$B$2&lt;Data!S10,Data!$B$2&gt;Data!T10)</f>
        <v>0</v>
      </c>
      <c r="Q9" s="23" t="str">
        <f>Data!J10</f>
        <v>GO Mode,Garmin,HOS,Iridium,UI</v>
      </c>
      <c r="R9" s="18" t="str">
        <f>Data!U10</f>
        <v>Version 9</v>
      </c>
      <c r="S9" s="18" t="str">
        <f>CONCATENATE(Data!V10,".",Data!W10,".",Data!X10)</f>
        <v>120.42.57</v>
      </c>
      <c r="T9" s="18" t="str">
        <f>Data!Y10</f>
        <v>G9JS3X5N41M7</v>
      </c>
      <c r="U9" s="18" t="str">
        <f>Data!Z10</f>
        <v>EUG563</v>
      </c>
      <c r="V9" s="18">
        <f>Data!AA10</f>
        <v>0</v>
      </c>
      <c r="W9" s="18">
        <f>Data!AD10</f>
        <v>0</v>
      </c>
      <c r="X9" s="18" t="str">
        <f>Data!AF10</f>
        <v>Pacific/Auckland</v>
      </c>
      <c r="Y9" s="24" t="str">
        <f>IF(ISBLANK(Data!AG10),"",Data!AG10)</f>
        <v>14T Hitachi ZX140W-3 2009</v>
      </c>
      <c r="Z9" s="18" t="str">
        <f>Data!AL10</f>
        <v>OK</v>
      </c>
      <c r="AA9" s="22">
        <f>Data!AH10</f>
        <v>45974.543079768519</v>
      </c>
      <c r="AB9" s="22">
        <f>IF(ISBLANK(Data!AI10),"",Data!AI10)</f>
        <v>45975.848716342596</v>
      </c>
    </row>
    <row r="10" spans="1:34">
      <c r="A10" s="18" t="str">
        <f>Data!A11</f>
        <v>1080</v>
      </c>
      <c r="B10" s="18" t="str">
        <f>Data!C11</f>
        <v>Generator, Generator/Trade Staff, Trade Staff</v>
      </c>
      <c r="C10" s="18" t="str">
        <f>Data!B11</f>
        <v>b2C5</v>
      </c>
      <c r="D10" s="18">
        <f>Data!F11</f>
        <v>0</v>
      </c>
      <c r="E10" s="18">
        <f>Data!G11</f>
        <v>0</v>
      </c>
      <c r="F10" s="18">
        <f>Data!H11</f>
        <v>0</v>
      </c>
      <c r="G10" s="18" t="str">
        <f>Data!I11</f>
        <v>Standard Hours</v>
      </c>
      <c r="H10" s="18">
        <f>Data!K11</f>
        <v>0</v>
      </c>
      <c r="I10" s="18" t="b">
        <f>Data!L11</f>
        <v>0</v>
      </c>
      <c r="J10" s="19">
        <f>Data!N11</f>
        <v>0</v>
      </c>
      <c r="K10" s="19">
        <f>Data!O11</f>
        <v>0</v>
      </c>
      <c r="L10" s="20">
        <f>Data!Q11</f>
        <v>0</v>
      </c>
      <c r="M10" s="21">
        <f>Data!R11</f>
        <v>0</v>
      </c>
      <c r="N10" s="22">
        <f>Data!S11</f>
        <v>45929.438658807871</v>
      </c>
      <c r="O10" s="22">
        <f>Data!T11</f>
        <v>54789.541666666664</v>
      </c>
      <c r="P10" s="23" t="b">
        <f>OR(Data!$B$2&lt;Data!S11,Data!$B$2&gt;Data!T11)</f>
        <v>0</v>
      </c>
      <c r="Q10" s="23">
        <f>Data!J11</f>
        <v>0</v>
      </c>
      <c r="R10" s="18" t="str">
        <f>Data!U11</f>
        <v>None</v>
      </c>
      <c r="S10" s="18" t="str">
        <f>CONCATENATE(Data!V11,".",Data!W11,".",Data!X11)</f>
        <v>-1..</v>
      </c>
      <c r="T10" s="18">
        <f>Data!Y11</f>
        <v>0</v>
      </c>
      <c r="U10" s="18">
        <f>Data!Z11</f>
        <v>0</v>
      </c>
      <c r="V10" s="18">
        <f>Data!AA11</f>
        <v>0</v>
      </c>
      <c r="W10" s="18">
        <f>Data!AD11</f>
        <v>0</v>
      </c>
      <c r="X10" s="18" t="str">
        <f>Data!AF11</f>
        <v>UTC</v>
      </c>
      <c r="Y10" s="24" t="str">
        <f>IF(ISBLANK(Data!AG11),"",Data!AG11)</f>
        <v>P9 Fox</v>
      </c>
      <c r="Z10" s="18">
        <f>Data!AL11</f>
        <v>0</v>
      </c>
      <c r="AA10" s="22">
        <f>Data!AH11</f>
        <v>0</v>
      </c>
      <c r="AB10" s="22" t="str">
        <f>IF(ISBLANK(Data!AI11),"",Data!AI11)</f>
        <v/>
      </c>
    </row>
    <row r="11" spans="1:34">
      <c r="A11" s="18" t="str">
        <f>Data!A12</f>
        <v>1081</v>
      </c>
      <c r="B11" s="18" t="str">
        <f>Data!C12</f>
        <v>Generator, Generator/Trade Staff, Trade Staff</v>
      </c>
      <c r="C11" s="18" t="str">
        <f>Data!B12</f>
        <v>b2C6</v>
      </c>
      <c r="D11" s="18">
        <f>Data!F12</f>
        <v>0</v>
      </c>
      <c r="E11" s="18">
        <f>Data!G12</f>
        <v>0</v>
      </c>
      <c r="F11" s="18">
        <f>Data!H12</f>
        <v>0</v>
      </c>
      <c r="G11" s="18" t="str">
        <f>Data!I12</f>
        <v>Standard Hours</v>
      </c>
      <c r="H11" s="18">
        <f>Data!K12</f>
        <v>0</v>
      </c>
      <c r="I11" s="18" t="b">
        <f>Data!L12</f>
        <v>0</v>
      </c>
      <c r="J11" s="19">
        <f>Data!N12</f>
        <v>0</v>
      </c>
      <c r="K11" s="19">
        <f>Data!O12</f>
        <v>0</v>
      </c>
      <c r="L11" s="20">
        <f>Data!Q12</f>
        <v>0</v>
      </c>
      <c r="M11" s="21">
        <f>Data!R12</f>
        <v>521.54166666666663</v>
      </c>
      <c r="N11" s="22">
        <f>Data!S12</f>
        <v>45929.439780810186</v>
      </c>
      <c r="O11" s="22">
        <f>Data!T12</f>
        <v>54789.541666666664</v>
      </c>
      <c r="P11" s="23" t="b">
        <f>OR(Data!$B$2&lt;Data!S12,Data!$B$2&gt;Data!T12)</f>
        <v>0</v>
      </c>
      <c r="Q11" s="23">
        <f>Data!J12</f>
        <v>0</v>
      </c>
      <c r="R11" s="18" t="str">
        <f>Data!U12</f>
        <v>None</v>
      </c>
      <c r="S11" s="18" t="str">
        <f>CONCATENATE(Data!V12,".",Data!W12,".",Data!X12)</f>
        <v>-1..</v>
      </c>
      <c r="T11" s="18">
        <f>Data!Y12</f>
        <v>0</v>
      </c>
      <c r="U11" s="18">
        <f>Data!Z12</f>
        <v>0</v>
      </c>
      <c r="V11" s="18">
        <f>Data!AA12</f>
        <v>0</v>
      </c>
      <c r="W11" s="18">
        <f>Data!AD12</f>
        <v>0</v>
      </c>
      <c r="X11" s="18" t="str">
        <f>Data!AF12</f>
        <v>UTC</v>
      </c>
      <c r="Y11" s="24" t="str">
        <f>IF(ISBLANK(Data!AG12),"",Data!AG12)</f>
        <v>P15 Fox</v>
      </c>
      <c r="Z11" s="18">
        <f>Data!AL12</f>
        <v>0</v>
      </c>
      <c r="AA11" s="22">
        <f>Data!AH12</f>
        <v>0</v>
      </c>
      <c r="AB11" s="22" t="str">
        <f>IF(ISBLANK(Data!AI12),"",Data!AI12)</f>
        <v/>
      </c>
    </row>
    <row r="12" spans="1:34">
      <c r="A12" s="18" t="str">
        <f>Data!A13</f>
        <v>111</v>
      </c>
      <c r="B12" s="18" t="str">
        <f>Data!C13</f>
        <v>Digger, Battery Electric Vehicle, Excavator/Tradestaff, Machines</v>
      </c>
      <c r="C12" s="18" t="str">
        <f>Data!B13</f>
        <v>b176</v>
      </c>
      <c r="D12" s="18" t="str">
        <f>Data!F13</f>
        <v>Archie</v>
      </c>
      <c r="E12" s="18" t="str">
        <f>Data!G13</f>
        <v>Abellana</v>
      </c>
      <c r="F12" s="18" t="str">
        <f>Data!H13</f>
        <v>archie.abellana</v>
      </c>
      <c r="G12" s="18" t="str">
        <f>Data!I13</f>
        <v>Standard Hours</v>
      </c>
      <c r="H12" s="18" t="str">
        <f>Data!K13</f>
        <v>Stopped</v>
      </c>
      <c r="I12" s="18" t="b">
        <f>Data!L13</f>
        <v>0</v>
      </c>
      <c r="J12" s="19" t="str">
        <f>Data!N13</f>
        <v>Gillingham Road: 75 Gillingham Road, Te Kamo, Whangārei 0112, New Zealand</v>
      </c>
      <c r="K12" s="19" t="str">
        <f>Data!O13</f>
        <v>Project</v>
      </c>
      <c r="L12" s="20">
        <f>Data!Q13</f>
        <v>153.15072631835938</v>
      </c>
      <c r="M12" s="21">
        <f>Data!R13</f>
        <v>344.52307077546294</v>
      </c>
      <c r="N12" s="22">
        <f>Data!S13</f>
        <v>45842.406248842592</v>
      </c>
      <c r="O12" s="22">
        <f>Data!T13</f>
        <v>54789.541666666664</v>
      </c>
      <c r="P12" s="23" t="b">
        <f>OR(Data!$B$2&lt;Data!S13,Data!$B$2&gt;Data!T13)</f>
        <v>0</v>
      </c>
      <c r="Q12" s="23" t="str">
        <f>Data!J13</f>
        <v>GO Mode,Garmin,HOS,Iridium,UI</v>
      </c>
      <c r="R12" s="18" t="str">
        <f>Data!U13</f>
        <v>Version 9</v>
      </c>
      <c r="S12" s="18" t="str">
        <f>CONCATENATE(Data!V13,".",Data!W13,".",Data!X13)</f>
        <v>120.42.57</v>
      </c>
      <c r="T12" s="18" t="str">
        <f>Data!Y13</f>
        <v>G9RHXM0XNPXP</v>
      </c>
      <c r="U12" s="18">
        <f>Data!Z13</f>
        <v>0</v>
      </c>
      <c r="V12" s="18">
        <f>Data!AA13</f>
        <v>0</v>
      </c>
      <c r="W12" s="18">
        <f>Data!AD13</f>
        <v>0</v>
      </c>
      <c r="X12" s="18" t="str">
        <f>Data!AF13</f>
        <v>Pacific/Auckland</v>
      </c>
      <c r="Y12" s="24" t="str">
        <f>IF(ISBLANK(Data!AG13),"",Data!AG13)</f>
        <v>13.5T Hitachi ZX135USLC-3 2012</v>
      </c>
      <c r="Z12" s="18" t="str">
        <f>Data!AL13</f>
        <v>OK</v>
      </c>
      <c r="AA12" s="22">
        <f>Data!AH13</f>
        <v>45975.658741666666</v>
      </c>
      <c r="AB12" s="22">
        <f>IF(ISBLANK(Data!AI13),"",Data!AI13)</f>
        <v>45975.848336574076</v>
      </c>
    </row>
    <row r="13" spans="1:34">
      <c r="A13" s="18" t="str">
        <f>Data!A14</f>
        <v>1141</v>
      </c>
      <c r="B13" s="18" t="str">
        <f>Data!C14</f>
        <v>Generator, Generator/Trade Staff, Trade Staff</v>
      </c>
      <c r="C13" s="18" t="str">
        <f>Data!B14</f>
        <v>b2C7</v>
      </c>
      <c r="D13" s="18">
        <f>Data!F14</f>
        <v>0</v>
      </c>
      <c r="E13" s="18">
        <f>Data!G14</f>
        <v>0</v>
      </c>
      <c r="F13" s="18">
        <f>Data!H14</f>
        <v>0</v>
      </c>
      <c r="G13" s="18" t="str">
        <f>Data!I14</f>
        <v>Standard Hours</v>
      </c>
      <c r="H13" s="18">
        <f>Data!K14</f>
        <v>0</v>
      </c>
      <c r="I13" s="18" t="b">
        <f>Data!L14</f>
        <v>0</v>
      </c>
      <c r="J13" s="19">
        <f>Data!N14</f>
        <v>0</v>
      </c>
      <c r="K13" s="19">
        <f>Data!O14</f>
        <v>0</v>
      </c>
      <c r="L13" s="20">
        <f>Data!Q14</f>
        <v>0</v>
      </c>
      <c r="M13" s="21">
        <f>Data!R14</f>
        <v>0</v>
      </c>
      <c r="N13" s="22">
        <f>Data!S14</f>
        <v>45929.440471527778</v>
      </c>
      <c r="O13" s="22">
        <f>Data!T14</f>
        <v>54789.541666666664</v>
      </c>
      <c r="P13" s="23" t="b">
        <f>OR(Data!$B$2&lt;Data!S14,Data!$B$2&gt;Data!T14)</f>
        <v>0</v>
      </c>
      <c r="Q13" s="23">
        <f>Data!J14</f>
        <v>0</v>
      </c>
      <c r="R13" s="18" t="str">
        <f>Data!U14</f>
        <v>None</v>
      </c>
      <c r="S13" s="18" t="str">
        <f>CONCATENATE(Data!V14,".",Data!W14,".",Data!X14)</f>
        <v>-1..</v>
      </c>
      <c r="T13" s="18">
        <f>Data!Y14</f>
        <v>0</v>
      </c>
      <c r="U13" s="18">
        <f>Data!Z14</f>
        <v>0</v>
      </c>
      <c r="V13" s="18">
        <f>Data!AA14</f>
        <v>0</v>
      </c>
      <c r="W13" s="18">
        <f>Data!AD14</f>
        <v>0</v>
      </c>
      <c r="X13" s="18" t="str">
        <f>Data!AF14</f>
        <v>UTC</v>
      </c>
      <c r="Y13" s="24" t="str">
        <f>IF(ISBLANK(Data!AG14),"",Data!AG14)</f>
        <v/>
      </c>
      <c r="Z13" s="18">
        <f>Data!AL14</f>
        <v>0</v>
      </c>
      <c r="AA13" s="22">
        <f>Data!AH14</f>
        <v>0</v>
      </c>
      <c r="AB13" s="22" t="str">
        <f>IF(ISBLANK(Data!AI14),"",Data!AI14)</f>
        <v/>
      </c>
    </row>
    <row r="14" spans="1:34">
      <c r="A14" s="18" t="str">
        <f>Data!A15</f>
        <v>122</v>
      </c>
      <c r="B14" s="18" t="str">
        <f>Data!C15</f>
        <v>Digger, Excavator/Tradestaff, Machines, Trade Staff</v>
      </c>
      <c r="C14" s="18" t="str">
        <f>Data!B15</f>
        <v>b164</v>
      </c>
      <c r="D14" s="18">
        <f>Data!F15</f>
        <v>0</v>
      </c>
      <c r="E14" s="18">
        <f>Data!G15</f>
        <v>0</v>
      </c>
      <c r="F14" s="18">
        <f>Data!H15</f>
        <v>0</v>
      </c>
      <c r="G14" s="18" t="str">
        <f>Data!I15</f>
        <v>Standard Hours</v>
      </c>
      <c r="H14" s="18" t="str">
        <f>Data!K15</f>
        <v>Stopped</v>
      </c>
      <c r="I14" s="18" t="b">
        <f>Data!L15</f>
        <v>0</v>
      </c>
      <c r="J14" s="19" t="str">
        <f>Data!N15</f>
        <v>Kaitaia Wastewater: 10 Puckey Avenue, Kaitaia 0410, New Zealand</v>
      </c>
      <c r="K14" s="19" t="str">
        <f>Data!O15</f>
        <v>Project</v>
      </c>
      <c r="L14" s="20">
        <f>Data!Q15</f>
        <v>398.49600219726563</v>
      </c>
      <c r="M14" s="21">
        <f>Data!R15</f>
        <v>277.74583333333334</v>
      </c>
      <c r="N14" s="22">
        <f>Data!S15</f>
        <v>45782.825087384263</v>
      </c>
      <c r="O14" s="22">
        <f>Data!T15</f>
        <v>54789.541666666664</v>
      </c>
      <c r="P14" s="23" t="b">
        <f>OR(Data!$B$2&lt;Data!S15,Data!$B$2&gt;Data!T15)</f>
        <v>0</v>
      </c>
      <c r="Q14" s="23" t="str">
        <f>Data!J15</f>
        <v>GO Mode,Garmin,HOS,Iridium,UI</v>
      </c>
      <c r="R14" s="18" t="str">
        <f>Data!U15</f>
        <v>Version 9</v>
      </c>
      <c r="S14" s="18" t="str">
        <f>CONCATENATE(Data!V15,".",Data!W15,".",Data!X15)</f>
        <v>120.42.57</v>
      </c>
      <c r="T14" s="18" t="str">
        <f>Data!Y15</f>
        <v>G9071KVMB37P</v>
      </c>
      <c r="U14" s="18">
        <f>Data!Z15</f>
        <v>0</v>
      </c>
      <c r="V14" s="18">
        <f>Data!AA15</f>
        <v>0</v>
      </c>
      <c r="W14" s="18">
        <f>Data!AD15</f>
        <v>0</v>
      </c>
      <c r="X14" s="18" t="str">
        <f>Data!AF15</f>
        <v>Pacific/Auckland</v>
      </c>
      <c r="Y14" s="24" t="str">
        <f>IF(ISBLANK(Data!AG15),"",Data!AG15)</f>
        <v>5.5T Hitachi ZX55U-5 2014</v>
      </c>
      <c r="Z14" s="18" t="str">
        <f>Data!AL15</f>
        <v>OK</v>
      </c>
      <c r="AA14" s="22">
        <f>Data!AH15</f>
        <v>45967.486746458337</v>
      </c>
      <c r="AB14" s="22">
        <f>IF(ISBLANK(Data!AI15),"",Data!AI15)</f>
        <v>45975.469049699073</v>
      </c>
    </row>
    <row r="15" spans="1:34">
      <c r="A15" s="18" t="str">
        <f>Data!A16</f>
        <v>123</v>
      </c>
      <c r="B15" s="18" t="str">
        <f>Data!C16</f>
        <v>Digger, Excavator/Tradestaff, Machines, Trade Staff</v>
      </c>
      <c r="C15" s="18" t="str">
        <f>Data!B16</f>
        <v>b16A</v>
      </c>
      <c r="D15" s="18">
        <f>Data!F16</f>
        <v>0</v>
      </c>
      <c r="E15" s="18">
        <f>Data!G16</f>
        <v>0</v>
      </c>
      <c r="F15" s="18">
        <f>Data!H16</f>
        <v>0</v>
      </c>
      <c r="G15" s="18" t="str">
        <f>Data!I16</f>
        <v>Standard Hours</v>
      </c>
      <c r="H15" s="18" t="str">
        <f>Data!K16</f>
        <v>Stopped</v>
      </c>
      <c r="I15" s="18" t="b">
        <f>Data!L16</f>
        <v>0</v>
      </c>
      <c r="J15" s="19" t="str">
        <f>Data!N16</f>
        <v>Channel Infrastructure: 41 Mair Road, Marsden Point 0171, New Zealand</v>
      </c>
      <c r="K15" s="19" t="str">
        <f>Data!O16</f>
        <v>Project</v>
      </c>
      <c r="L15" s="20">
        <f>Data!Q16</f>
        <v>41.567630767822266</v>
      </c>
      <c r="M15" s="21">
        <f>Data!R16</f>
        <v>125.61197335648149</v>
      </c>
      <c r="N15" s="22">
        <f>Data!S16</f>
        <v>45782.834631076388</v>
      </c>
      <c r="O15" s="22">
        <f>Data!T16</f>
        <v>54789.541666666664</v>
      </c>
      <c r="P15" s="23" t="b">
        <f>OR(Data!$B$2&lt;Data!S16,Data!$B$2&gt;Data!T16)</f>
        <v>0</v>
      </c>
      <c r="Q15" s="23" t="str">
        <f>Data!J16</f>
        <v>GO Mode,Garmin,HOS,Iridium,UI</v>
      </c>
      <c r="R15" s="18" t="str">
        <f>Data!U16</f>
        <v>Version 9</v>
      </c>
      <c r="S15" s="18" t="str">
        <f>CONCATENATE(Data!V16,".",Data!W16,".",Data!X16)</f>
        <v>120.42.57</v>
      </c>
      <c r="T15" s="18" t="str">
        <f>Data!Y16</f>
        <v>G9F8JM3179FZ</v>
      </c>
      <c r="U15" s="18">
        <f>Data!Z16</f>
        <v>0</v>
      </c>
      <c r="V15" s="18">
        <f>Data!AA16</f>
        <v>0</v>
      </c>
      <c r="W15" s="18">
        <f>Data!AD16</f>
        <v>0</v>
      </c>
      <c r="X15" s="18" t="str">
        <f>Data!AF16</f>
        <v>Pacific/Auckland</v>
      </c>
      <c r="Y15" s="24" t="str">
        <f>IF(ISBLANK(Data!AG16),"",Data!AG16)</f>
        <v>1.7T Hitachi ZX17U-2 2014</v>
      </c>
      <c r="Z15" s="18" t="str">
        <f>Data!AL16</f>
        <v>OK</v>
      </c>
      <c r="AA15" s="22">
        <f>Data!AH16</f>
        <v>45974.5473684838</v>
      </c>
      <c r="AB15" s="22">
        <f>IF(ISBLANK(Data!AI16),"",Data!AI16)</f>
        <v>45975.842495798614</v>
      </c>
    </row>
    <row r="16" spans="1:34">
      <c r="A16" s="18" t="str">
        <f>Data!A17</f>
        <v>124</v>
      </c>
      <c r="B16" s="18" t="str">
        <f>Data!C17</f>
        <v>Digger, Diesel, Excavator/Tradestaff, Machines, Trade Staff</v>
      </c>
      <c r="C16" s="18" t="str">
        <f>Data!B17</f>
        <v>b166</v>
      </c>
      <c r="D16" s="18">
        <f>Data!F17</f>
        <v>0</v>
      </c>
      <c r="E16" s="18">
        <f>Data!G17</f>
        <v>0</v>
      </c>
      <c r="F16" s="18">
        <f>Data!H17</f>
        <v>0</v>
      </c>
      <c r="G16" s="18" t="str">
        <f>Data!I17</f>
        <v>Standard Hours</v>
      </c>
      <c r="H16" s="18" t="str">
        <f>Data!K17</f>
        <v>Stopped</v>
      </c>
      <c r="I16" s="18" t="b">
        <f>Data!L17</f>
        <v>0</v>
      </c>
      <c r="J16" s="19" t="str">
        <f>Data!N17</f>
        <v>Morningside: 65 Morningside Rd, Northland Region 0110, New Zealand</v>
      </c>
      <c r="K16" s="19" t="str">
        <f>Data!O17</f>
        <v>Project</v>
      </c>
      <c r="L16" s="20">
        <f>Data!Q17</f>
        <v>229.87763977050781</v>
      </c>
      <c r="M16" s="21">
        <f>Data!R17</f>
        <v>388.45000003472222</v>
      </c>
      <c r="N16" s="22">
        <f>Data!S17</f>
        <v>45782.83416583333</v>
      </c>
      <c r="O16" s="22">
        <f>Data!T17</f>
        <v>54789.541666666664</v>
      </c>
      <c r="P16" s="23" t="b">
        <f>OR(Data!$B$2&lt;Data!S17,Data!$B$2&gt;Data!T17)</f>
        <v>0</v>
      </c>
      <c r="Q16" s="23" t="str">
        <f>Data!J17</f>
        <v>GO Mode,Garmin,HOS,Iridium,UI</v>
      </c>
      <c r="R16" s="18" t="str">
        <f>Data!U17</f>
        <v>Version 9</v>
      </c>
      <c r="S16" s="18" t="str">
        <f>CONCATENATE(Data!V17,".",Data!W17,".",Data!X17)</f>
        <v>120.42.57</v>
      </c>
      <c r="T16" s="18" t="str">
        <f>Data!Y17</f>
        <v>G9EKK0KRFU3Y</v>
      </c>
      <c r="U16" s="18">
        <f>Data!Z17</f>
        <v>0</v>
      </c>
      <c r="V16" s="18">
        <f>Data!AA17</f>
        <v>0</v>
      </c>
      <c r="W16" s="18">
        <f>Data!AD17</f>
        <v>0</v>
      </c>
      <c r="X16" s="18" t="str">
        <f>Data!AF17</f>
        <v>Pacific/Auckland</v>
      </c>
      <c r="Y16" s="24" t="str">
        <f>IF(ISBLANK(Data!AG17),"",Data!AG17)</f>
        <v>23.5T Hyundai R235 LCR-9 2014</v>
      </c>
      <c r="Z16" s="18" t="str">
        <f>Data!AL17</f>
        <v>OK</v>
      </c>
      <c r="AA16" s="22">
        <f>Data!AH17</f>
        <v>45975.821491122682</v>
      </c>
      <c r="AB16" s="22">
        <f>IF(ISBLANK(Data!AI17),"",Data!AI17)</f>
        <v>45975.843586030096</v>
      </c>
    </row>
    <row r="17" spans="1:28">
      <c r="A17" s="18" t="str">
        <f>Data!A18</f>
        <v>128</v>
      </c>
      <c r="B17" s="18" t="str">
        <f>Data!C18</f>
        <v>Digger, Diesel, Excavator/Tradestaff, Machines, Trade Staff</v>
      </c>
      <c r="C17" s="18" t="str">
        <f>Data!B18</f>
        <v>b170</v>
      </c>
      <c r="D17" s="18">
        <f>Data!F18</f>
        <v>0</v>
      </c>
      <c r="E17" s="18">
        <f>Data!G18</f>
        <v>0</v>
      </c>
      <c r="F17" s="18">
        <f>Data!H18</f>
        <v>0</v>
      </c>
      <c r="G17" s="18" t="str">
        <f>Data!I18</f>
        <v>Standard Hours</v>
      </c>
      <c r="H17" s="18" t="str">
        <f>Data!K18</f>
        <v>Stopped</v>
      </c>
      <c r="I17" s="18" t="b">
        <f>Data!L18</f>
        <v>0</v>
      </c>
      <c r="J17" s="19" t="str">
        <f>Data!N18</f>
        <v>Morningside: 65 Morningside Rd, Northland Region 0110, New Zealand</v>
      </c>
      <c r="K17" s="19" t="str">
        <f>Data!O18</f>
        <v>Project</v>
      </c>
      <c r="L17" s="20">
        <f>Data!Q18</f>
        <v>265.51220703125</v>
      </c>
      <c r="M17" s="21">
        <f>Data!R18</f>
        <v>322.36666666666667</v>
      </c>
      <c r="N17" s="22">
        <f>Data!S18</f>
        <v>45782.834383773152</v>
      </c>
      <c r="O17" s="22">
        <f>Data!T18</f>
        <v>54789.541666666664</v>
      </c>
      <c r="P17" s="23" t="b">
        <f>OR(Data!$B$2&lt;Data!S18,Data!$B$2&gt;Data!T18)</f>
        <v>0</v>
      </c>
      <c r="Q17" s="23" t="str">
        <f>Data!J18</f>
        <v>GO Mode,Garmin,HOS,Iridium,UI</v>
      </c>
      <c r="R17" s="18" t="str">
        <f>Data!U18</f>
        <v>Version 9</v>
      </c>
      <c r="S17" s="18" t="str">
        <f>CONCATENATE(Data!V18,".",Data!W18,".",Data!X18)</f>
        <v>120.42.57</v>
      </c>
      <c r="T17" s="18" t="str">
        <f>Data!Y18</f>
        <v>G9USRCKV6BVV</v>
      </c>
      <c r="U17" s="18">
        <f>Data!Z18</f>
        <v>0</v>
      </c>
      <c r="V17" s="18">
        <f>Data!AA18</f>
        <v>0</v>
      </c>
      <c r="W17" s="18">
        <f>Data!AD18</f>
        <v>0</v>
      </c>
      <c r="X17" s="18" t="str">
        <f>Data!AF18</f>
        <v>Pacific/Auckland</v>
      </c>
      <c r="Y17" s="24" t="str">
        <f>IF(ISBLANK(Data!AG18),"",Data!AG18)</f>
        <v>23.5T Hyundai R235LCR-9 2016</v>
      </c>
      <c r="Z17" s="18" t="str">
        <f>Data!AL18</f>
        <v>OK</v>
      </c>
      <c r="AA17" s="22">
        <f>Data!AH18</f>
        <v>45975.741983321757</v>
      </c>
      <c r="AB17" s="22">
        <f>IF(ISBLANK(Data!AI18),"",Data!AI18)</f>
        <v>45975.847457858799</v>
      </c>
    </row>
    <row r="18" spans="1:28">
      <c r="A18" s="18" t="str">
        <f>Data!A19</f>
        <v>129</v>
      </c>
      <c r="B18" s="18" t="str">
        <f>Data!C19</f>
        <v>Digger, Excavator/Tradestaff, Machines, Trade Staff</v>
      </c>
      <c r="C18" s="18" t="str">
        <f>Data!B19</f>
        <v>b160</v>
      </c>
      <c r="D18" s="18">
        <f>Data!F19</f>
        <v>0</v>
      </c>
      <c r="E18" s="18">
        <f>Data!G19</f>
        <v>0</v>
      </c>
      <c r="F18" s="18">
        <f>Data!H19</f>
        <v>0</v>
      </c>
      <c r="G18" s="18" t="str">
        <f>Data!I19</f>
        <v>Standard Hours</v>
      </c>
      <c r="H18" s="18" t="str">
        <f>Data!K19</f>
        <v>Stopped</v>
      </c>
      <c r="I18" s="18" t="b">
        <f>Data!L19</f>
        <v>0</v>
      </c>
      <c r="J18" s="19" t="str">
        <f>Data!N19</f>
        <v>Kaitaia Wastewater: 1 Bonnetts Road, Kaitaia 0410, New Zealand</v>
      </c>
      <c r="K18" s="19" t="str">
        <f>Data!O19</f>
        <v>Project</v>
      </c>
      <c r="L18" s="20">
        <f>Data!Q19</f>
        <v>244.47006225585938</v>
      </c>
      <c r="M18" s="21">
        <f>Data!R19</f>
        <v>6.0732568865740744</v>
      </c>
      <c r="N18" s="22">
        <f>Data!S19</f>
        <v>45782.833905659725</v>
      </c>
      <c r="O18" s="22">
        <f>Data!T19</f>
        <v>54789.541666666664</v>
      </c>
      <c r="P18" s="23" t="b">
        <f>OR(Data!$B$2&lt;Data!S19,Data!$B$2&gt;Data!T19)</f>
        <v>0</v>
      </c>
      <c r="Q18" s="23" t="str">
        <f>Data!J19</f>
        <v>GO Mode,Garmin,HOS,Iridium,UI</v>
      </c>
      <c r="R18" s="18" t="str">
        <f>Data!U19</f>
        <v>Version 9</v>
      </c>
      <c r="S18" s="18" t="str">
        <f>CONCATENATE(Data!V19,".",Data!W19,".",Data!X19)</f>
        <v>120.42.57</v>
      </c>
      <c r="T18" s="18" t="str">
        <f>Data!Y19</f>
        <v>G940DTZJ0XM1</v>
      </c>
      <c r="U18" s="18">
        <f>Data!Z19</f>
        <v>0</v>
      </c>
      <c r="V18" s="18">
        <f>Data!AA19</f>
        <v>0</v>
      </c>
      <c r="W18" s="18">
        <f>Data!AD19</f>
        <v>0</v>
      </c>
      <c r="X18" s="18" t="str">
        <f>Data!AF19</f>
        <v>Pacific/Auckland</v>
      </c>
      <c r="Y18" s="24" t="str">
        <f>IF(ISBLANK(Data!AG19),"",Data!AG19)</f>
        <v>1.7T Hyundai R17z-19A 2017</v>
      </c>
      <c r="Z18" s="18" t="str">
        <f>Data!AL19</f>
        <v>OK</v>
      </c>
      <c r="AA18" s="22">
        <f>Data!AH19</f>
        <v>45975.334272673608</v>
      </c>
      <c r="AB18" s="22">
        <f>IF(ISBLANK(Data!AI19),"",Data!AI19)</f>
        <v>45975.862825914352</v>
      </c>
    </row>
    <row r="19" spans="1:28">
      <c r="A19" s="18" t="str">
        <f>Data!A20</f>
        <v>130</v>
      </c>
      <c r="B19" s="18" t="str">
        <f>Data!C20</f>
        <v>Digger, Excavator/Tradestaff, Machines, Trade Staff</v>
      </c>
      <c r="C19" s="18" t="str">
        <f>Data!B20</f>
        <v>b16E</v>
      </c>
      <c r="D19" s="18">
        <f>Data!F20</f>
        <v>0</v>
      </c>
      <c r="E19" s="18">
        <f>Data!G20</f>
        <v>0</v>
      </c>
      <c r="F19" s="18">
        <f>Data!H20</f>
        <v>0</v>
      </c>
      <c r="G19" s="18" t="str">
        <f>Data!I20</f>
        <v>Standard Hours</v>
      </c>
      <c r="H19" s="18" t="str">
        <f>Data!K20</f>
        <v>Stopped</v>
      </c>
      <c r="I19" s="18" t="b">
        <f>Data!L20</f>
        <v>0</v>
      </c>
      <c r="J19" s="19" t="str">
        <f>Data!N20</f>
        <v>Ngawha: 73B Bannister Road, Ngawha Springs 0472, New Zealand</v>
      </c>
      <c r="K19" s="19" t="str">
        <f>Data!O20</f>
        <v>Project</v>
      </c>
      <c r="L19" s="20">
        <f>Data!Q20</f>
        <v>549.59197998046875</v>
      </c>
      <c r="M19" s="21">
        <f>Data!R20</f>
        <v>88.830679386574076</v>
      </c>
      <c r="N19" s="22">
        <f>Data!S20</f>
        <v>45782.834860648145</v>
      </c>
      <c r="O19" s="22">
        <f>Data!T20</f>
        <v>54789.541666666664</v>
      </c>
      <c r="P19" s="23" t="b">
        <f>OR(Data!$B$2&lt;Data!S20,Data!$B$2&gt;Data!T20)</f>
        <v>0</v>
      </c>
      <c r="Q19" s="23" t="str">
        <f>Data!J20</f>
        <v>GO Mode,Garmin,HOS,Iridium,UI</v>
      </c>
      <c r="R19" s="18" t="str">
        <f>Data!U20</f>
        <v>Version 9</v>
      </c>
      <c r="S19" s="18" t="str">
        <f>CONCATENATE(Data!V20,".",Data!W20,".",Data!X20)</f>
        <v>120.42.57</v>
      </c>
      <c r="T19" s="18" t="str">
        <f>Data!Y20</f>
        <v>G9K3YS8BXU3J</v>
      </c>
      <c r="U19" s="18">
        <f>Data!Z20</f>
        <v>0</v>
      </c>
      <c r="V19" s="18">
        <f>Data!AA20</f>
        <v>0</v>
      </c>
      <c r="W19" s="18">
        <f>Data!AD20</f>
        <v>0</v>
      </c>
      <c r="X19" s="18" t="str">
        <f>Data!AF20</f>
        <v>Pacific/Auckland</v>
      </c>
      <c r="Y19" s="24" t="str">
        <f>IF(ISBLANK(Data!AG20),"",Data!AG20)</f>
        <v>1.7T Hyundai R17z-19A 2017</v>
      </c>
      <c r="Z19" s="18" t="str">
        <f>Data!AL20</f>
        <v>OK</v>
      </c>
      <c r="AA19" s="22">
        <f>Data!AH20</f>
        <v>45974.572363425927</v>
      </c>
      <c r="AB19" s="22">
        <f>IF(ISBLANK(Data!AI20),"",Data!AI20)</f>
        <v>45975.855986111113</v>
      </c>
    </row>
    <row r="20" spans="1:28">
      <c r="A20" s="18" t="str">
        <f>Data!A21</f>
        <v>1304</v>
      </c>
      <c r="B20" s="18" t="str">
        <f>Data!C21</f>
        <v>Pump, Pump/Trade Staff, Trade Staff</v>
      </c>
      <c r="C20" s="18" t="str">
        <f>Data!B21</f>
        <v>b2C8</v>
      </c>
      <c r="D20" s="18">
        <f>Data!F21</f>
        <v>0</v>
      </c>
      <c r="E20" s="18">
        <f>Data!G21</f>
        <v>0</v>
      </c>
      <c r="F20" s="18">
        <f>Data!H21</f>
        <v>0</v>
      </c>
      <c r="G20" s="18" t="str">
        <f>Data!I21</f>
        <v>Standard Hours</v>
      </c>
      <c r="H20" s="18">
        <f>Data!K21</f>
        <v>0</v>
      </c>
      <c r="I20" s="18" t="b">
        <f>Data!L21</f>
        <v>0</v>
      </c>
      <c r="J20" s="19">
        <f>Data!N21</f>
        <v>0</v>
      </c>
      <c r="K20" s="19">
        <f>Data!O21</f>
        <v>0</v>
      </c>
      <c r="L20" s="20">
        <f>Data!Q21</f>
        <v>0</v>
      </c>
      <c r="M20" s="21">
        <f>Data!R21</f>
        <v>0</v>
      </c>
      <c r="N20" s="22">
        <f>Data!S21</f>
        <v>45929.441634479168</v>
      </c>
      <c r="O20" s="22">
        <f>Data!T21</f>
        <v>54789.541666666664</v>
      </c>
      <c r="P20" s="23" t="b">
        <f>OR(Data!$B$2&lt;Data!S21,Data!$B$2&gt;Data!T21)</f>
        <v>0</v>
      </c>
      <c r="Q20" s="23">
        <f>Data!J21</f>
        <v>0</v>
      </c>
      <c r="R20" s="18" t="str">
        <f>Data!U21</f>
        <v>None</v>
      </c>
      <c r="S20" s="18" t="str">
        <f>CONCATENATE(Data!V21,".",Data!W21,".",Data!X21)</f>
        <v>-1..</v>
      </c>
      <c r="T20" s="18">
        <f>Data!Y21</f>
        <v>0</v>
      </c>
      <c r="U20" s="18">
        <f>Data!Z21</f>
        <v>0</v>
      </c>
      <c r="V20" s="18">
        <f>Data!AA21</f>
        <v>0</v>
      </c>
      <c r="W20" s="18">
        <f>Data!AD21</f>
        <v>0</v>
      </c>
      <c r="X20" s="18" t="str">
        <f>Data!AF21</f>
        <v>UTC</v>
      </c>
      <c r="Y20" s="24" t="str">
        <f>IF(ISBLANK(Data!AG21),"",Data!AG21)</f>
        <v>Pump - Vacuum Prime Pumpset BA100K</v>
      </c>
      <c r="Z20" s="18">
        <f>Data!AL21</f>
        <v>0</v>
      </c>
      <c r="AA20" s="22">
        <f>Data!AH21</f>
        <v>0</v>
      </c>
      <c r="AB20" s="22" t="str">
        <f>IF(ISBLANK(Data!AI21),"",Data!AI21)</f>
        <v/>
      </c>
    </row>
    <row r="21" spans="1:28">
      <c r="A21" s="18" t="str">
        <f>Data!A22</f>
        <v>132</v>
      </c>
      <c r="B21" s="18" t="str">
        <f>Data!C22</f>
        <v>Digger, Excavator/Tradestaff, Machines, Trade Staff</v>
      </c>
      <c r="C21" s="18" t="str">
        <f>Data!B22</f>
        <v>b178</v>
      </c>
      <c r="D21" s="18" t="str">
        <f>Data!F22</f>
        <v>Kymani</v>
      </c>
      <c r="E21" s="18" t="str">
        <f>Data!G22</f>
        <v>Paikea</v>
      </c>
      <c r="F21" s="18" t="str">
        <f>Data!H22</f>
        <v>kymani.paikea</v>
      </c>
      <c r="G21" s="18" t="str">
        <f>Data!I22</f>
        <v>Standard Hours</v>
      </c>
      <c r="H21" s="18" t="str">
        <f>Data!K22</f>
        <v>Stopped</v>
      </c>
      <c r="I21" s="18" t="b">
        <f>Data!L22</f>
        <v>0</v>
      </c>
      <c r="J21" s="19" t="str">
        <f>Data!N22</f>
        <v>Ruakaka Solar Farm Site 2: 34 Mccathie Road, Ruakākā 0171, New Zealand</v>
      </c>
      <c r="K21" s="19" t="str">
        <f>Data!O22</f>
        <v>Project</v>
      </c>
      <c r="L21" s="20">
        <f>Data!Q22</f>
        <v>132.82075500488281</v>
      </c>
      <c r="M21" s="21">
        <f>Data!R22</f>
        <v>208.99307929398148</v>
      </c>
      <c r="N21" s="22">
        <f>Data!S22</f>
        <v>45782.835071979163</v>
      </c>
      <c r="O21" s="22">
        <f>Data!T22</f>
        <v>54789.541666666664</v>
      </c>
      <c r="P21" s="23" t="b">
        <f>OR(Data!$B$2&lt;Data!S22,Data!$B$2&gt;Data!T22)</f>
        <v>0</v>
      </c>
      <c r="Q21" s="23" t="str">
        <f>Data!J22</f>
        <v>GO Mode,Garmin,HOS,Iridium,UI</v>
      </c>
      <c r="R21" s="18" t="str">
        <f>Data!U22</f>
        <v>Version 9</v>
      </c>
      <c r="S21" s="18" t="str">
        <f>CONCATENATE(Data!V22,".",Data!W22,".",Data!X22)</f>
        <v>120.42.57</v>
      </c>
      <c r="T21" s="18" t="str">
        <f>Data!Y22</f>
        <v>G98ZPSY1BD3K</v>
      </c>
      <c r="U21" s="18">
        <f>Data!Z22</f>
        <v>0</v>
      </c>
      <c r="V21" s="18">
        <f>Data!AA22</f>
        <v>0</v>
      </c>
      <c r="W21" s="18">
        <f>Data!AD22</f>
        <v>0</v>
      </c>
      <c r="X21" s="18" t="str">
        <f>Data!AF22</f>
        <v>Pacific/Auckland</v>
      </c>
      <c r="Y21" s="24" t="str">
        <f>IF(ISBLANK(Data!AG22),"",Data!AG22)</f>
        <v>8T Hyundai R80CR-9 2018</v>
      </c>
      <c r="Z21" s="18" t="str">
        <f>Data!AL22</f>
        <v>OK</v>
      </c>
      <c r="AA21" s="22">
        <f>Data!AH22</f>
        <v>45972.513551354168</v>
      </c>
      <c r="AB21" s="22">
        <f>IF(ISBLANK(Data!AI22),"",Data!AI22)</f>
        <v>45975.517023576387</v>
      </c>
    </row>
    <row r="22" spans="1:28">
      <c r="A22" s="18" t="str">
        <f>Data!A23</f>
        <v>133</v>
      </c>
      <c r="B22" s="18" t="str">
        <f>Data!C23</f>
        <v>Digger, Diesel, Excavator/Tradestaff, Machines, Trade Staff</v>
      </c>
      <c r="C22" s="18" t="str">
        <f>Data!B23</f>
        <v>b17B</v>
      </c>
      <c r="D22" s="18">
        <f>Data!F23</f>
        <v>0</v>
      </c>
      <c r="E22" s="18">
        <f>Data!G23</f>
        <v>0</v>
      </c>
      <c r="F22" s="18">
        <f>Data!H23</f>
        <v>0</v>
      </c>
      <c r="G22" s="18" t="str">
        <f>Data!I23</f>
        <v>Standard Hours</v>
      </c>
      <c r="H22" s="18" t="str">
        <f>Data!K23</f>
        <v>Stopped</v>
      </c>
      <c r="I22" s="18" t="b">
        <f>Data!L23</f>
        <v>0</v>
      </c>
      <c r="J22" s="19" t="str">
        <f>Data!N23</f>
        <v>Kaitaia Wastewater: 4 Bonnetts Road, Kaitaia 0410, New Zealand</v>
      </c>
      <c r="K22" s="19" t="str">
        <f>Data!O23</f>
        <v>Project</v>
      </c>
      <c r="L22" s="20">
        <f>Data!Q23</f>
        <v>307.37078857421875</v>
      </c>
      <c r="M22" s="21">
        <f>Data!R23</f>
        <v>271.12686271990742</v>
      </c>
      <c r="N22" s="22">
        <f>Data!S23</f>
        <v>45782.835319571757</v>
      </c>
      <c r="O22" s="22">
        <f>Data!T23</f>
        <v>54789.541666666664</v>
      </c>
      <c r="P22" s="23" t="b">
        <f>OR(Data!$B$2&lt;Data!S23,Data!$B$2&gt;Data!T23)</f>
        <v>0</v>
      </c>
      <c r="Q22" s="23" t="str">
        <f>Data!J23</f>
        <v>GO Mode,Garmin,HOS,Iridium,UI</v>
      </c>
      <c r="R22" s="18" t="str">
        <f>Data!U23</f>
        <v>Version 9</v>
      </c>
      <c r="S22" s="18" t="str">
        <f>CONCATENATE(Data!V23,".",Data!W23,".",Data!X23)</f>
        <v>120.42.57</v>
      </c>
      <c r="T22" s="18" t="str">
        <f>Data!Y23</f>
        <v>G9JN6AVZ9WNA</v>
      </c>
      <c r="U22" s="18">
        <f>Data!Z23</f>
        <v>0</v>
      </c>
      <c r="V22" s="18">
        <f>Data!AA23</f>
        <v>0</v>
      </c>
      <c r="W22" s="18">
        <f>Data!AD23</f>
        <v>0</v>
      </c>
      <c r="X22" s="18" t="str">
        <f>Data!AF23</f>
        <v>Pacific/Auckland</v>
      </c>
      <c r="Y22" s="24" t="str">
        <f>IF(ISBLANK(Data!AG23),"",Data!AG23)</f>
        <v>22.5T Hitachi ZX225 USLC-5 2018</v>
      </c>
      <c r="Z22" s="18" t="str">
        <f>Data!AL23</f>
        <v>OK</v>
      </c>
      <c r="AA22" s="22">
        <f>Data!AH23</f>
        <v>45975.629239247683</v>
      </c>
      <c r="AB22" s="22">
        <f>IF(ISBLANK(Data!AI23),"",Data!AI23)</f>
        <v>45975.86021146991</v>
      </c>
    </row>
    <row r="23" spans="1:28">
      <c r="A23" s="18" t="str">
        <f>Data!A24</f>
        <v>134</v>
      </c>
      <c r="B23" s="18" t="str">
        <f>Data!C24</f>
        <v>Digger, Excavator/Tradestaff, Machines, Trade Staff</v>
      </c>
      <c r="C23" s="18" t="str">
        <f>Data!B24</f>
        <v>b179</v>
      </c>
      <c r="D23" s="18">
        <f>Data!F24</f>
        <v>0</v>
      </c>
      <c r="E23" s="18">
        <f>Data!G24</f>
        <v>0</v>
      </c>
      <c r="F23" s="18">
        <f>Data!H24</f>
        <v>0</v>
      </c>
      <c r="G23" s="18" t="str">
        <f>Data!I24</f>
        <v>Standard Hours</v>
      </c>
      <c r="H23" s="18" t="str">
        <f>Data!K24</f>
        <v>Stopped</v>
      </c>
      <c r="I23" s="18" t="b">
        <f>Data!L24</f>
        <v>0</v>
      </c>
      <c r="J23" s="19" t="str">
        <f>Data!N24</f>
        <v>Kaikohe Work Area: 39 Bisset Road, Kaikohe 0405, New Zealand</v>
      </c>
      <c r="K23" s="19" t="str">
        <f>Data!O24</f>
        <v>Project</v>
      </c>
      <c r="L23" s="20">
        <f>Data!Q24</f>
        <v>353.31463623046875</v>
      </c>
      <c r="M23" s="21">
        <f>Data!R24</f>
        <v>189.65722002314814</v>
      </c>
      <c r="N23" s="22">
        <f>Data!S24</f>
        <v>45782.835540462962</v>
      </c>
      <c r="O23" s="22">
        <f>Data!T24</f>
        <v>54789.541666666664</v>
      </c>
      <c r="P23" s="23" t="b">
        <f>OR(Data!$B$2&lt;Data!S24,Data!$B$2&gt;Data!T24)</f>
        <v>0</v>
      </c>
      <c r="Q23" s="23" t="str">
        <f>Data!J24</f>
        <v>GO Mode,Garmin,HOS,Iridium,UI</v>
      </c>
      <c r="R23" s="18" t="str">
        <f>Data!U24</f>
        <v>Version 9</v>
      </c>
      <c r="S23" s="18" t="str">
        <f>CONCATENATE(Data!V24,".",Data!W24,".",Data!X24)</f>
        <v>120.42.57</v>
      </c>
      <c r="T23" s="18" t="str">
        <f>Data!Y24</f>
        <v>G9AXAZ5WJSNC</v>
      </c>
      <c r="U23" s="18">
        <f>Data!Z24</f>
        <v>0</v>
      </c>
      <c r="V23" s="18">
        <f>Data!AA24</f>
        <v>0</v>
      </c>
      <c r="W23" s="18">
        <f>Data!AD24</f>
        <v>0</v>
      </c>
      <c r="X23" s="18" t="str">
        <f>Data!AF24</f>
        <v>Pacific/Auckland</v>
      </c>
      <c r="Y23" s="24" t="str">
        <f>IF(ISBLANK(Data!AG24),"",Data!AG24)</f>
        <v>14.5T Hyundai R145CRD-9 2018</v>
      </c>
      <c r="Z23" s="18" t="str">
        <f>Data!AL24</f>
        <v>OK</v>
      </c>
      <c r="AA23" s="22">
        <f>Data!AH24</f>
        <v>45975.645733518519</v>
      </c>
      <c r="AB23" s="22">
        <f>IF(ISBLANK(Data!AI24),"",Data!AI24)</f>
        <v>45975.855258981479</v>
      </c>
    </row>
    <row r="24" spans="1:28">
      <c r="A24" s="18" t="str">
        <f>Data!A25</f>
        <v>137</v>
      </c>
      <c r="B24" s="18" t="str">
        <f>Data!C25</f>
        <v>Digger, Excavator/Tradestaff, Machines, Trade Staff</v>
      </c>
      <c r="C24" s="18" t="str">
        <f>Data!B25</f>
        <v>b173</v>
      </c>
      <c r="D24" s="18">
        <f>Data!F25</f>
        <v>0</v>
      </c>
      <c r="E24" s="18">
        <f>Data!G25</f>
        <v>0</v>
      </c>
      <c r="F24" s="18">
        <f>Data!H25</f>
        <v>0</v>
      </c>
      <c r="G24" s="18" t="str">
        <f>Data!I25</f>
        <v>Standard Hours</v>
      </c>
      <c r="H24" s="18" t="str">
        <f>Data!K25</f>
        <v>Stopped</v>
      </c>
      <c r="I24" s="18" t="b">
        <f>Data!L25</f>
        <v>0</v>
      </c>
      <c r="J24" s="19" t="str">
        <f>Data!N25</f>
        <v>Kaikohe: 91 Mangakahia Road, Kaikohe 0474, New Zealand</v>
      </c>
      <c r="K24" s="19" t="str">
        <f>Data!O25</f>
        <v>Project</v>
      </c>
      <c r="L24" s="20">
        <f>Data!Q25</f>
        <v>361.92507934570313</v>
      </c>
      <c r="M24" s="21">
        <f>Data!R25</f>
        <v>110.25416672453704</v>
      </c>
      <c r="N24" s="22">
        <f>Data!S25</f>
        <v>45782.83605273148</v>
      </c>
      <c r="O24" s="22">
        <f>Data!T25</f>
        <v>54789.541666666664</v>
      </c>
      <c r="P24" s="23" t="b">
        <f>OR(Data!$B$2&lt;Data!S25,Data!$B$2&gt;Data!T25)</f>
        <v>0</v>
      </c>
      <c r="Q24" s="23" t="str">
        <f>Data!J25</f>
        <v>GO Mode,Garmin,HOS,Iridium,UI</v>
      </c>
      <c r="R24" s="18" t="str">
        <f>Data!U25</f>
        <v>Version 9</v>
      </c>
      <c r="S24" s="18" t="str">
        <f>CONCATENATE(Data!V25,".",Data!W25,".",Data!X25)</f>
        <v>120.42.57</v>
      </c>
      <c r="T24" s="18" t="str">
        <f>Data!Y25</f>
        <v>G960M159TRJS</v>
      </c>
      <c r="U24" s="18">
        <f>Data!Z25</f>
        <v>0</v>
      </c>
      <c r="V24" s="18">
        <f>Data!AA25</f>
        <v>0</v>
      </c>
      <c r="W24" s="18">
        <f>Data!AD25</f>
        <v>0</v>
      </c>
      <c r="X24" s="18" t="str">
        <f>Data!AF25</f>
        <v>Pacific/Auckland</v>
      </c>
      <c r="Y24" s="24" t="str">
        <f>IF(ISBLANK(Data!AG25),"",Data!AG25)</f>
        <v>6T Hitachi ZX65USB-5A 2018</v>
      </c>
      <c r="Z24" s="18" t="str">
        <f>Data!AL25</f>
        <v>OK</v>
      </c>
      <c r="AA24" s="22">
        <f>Data!AH25</f>
        <v>45975.462913796298</v>
      </c>
      <c r="AB24" s="22">
        <f>IF(ISBLANK(Data!AI25),"",Data!AI25)</f>
        <v>45975.859904537036</v>
      </c>
    </row>
    <row r="25" spans="1:28">
      <c r="A25" s="18" t="str">
        <f>Data!A26</f>
        <v>138</v>
      </c>
      <c r="B25" s="18" t="str">
        <f>Data!C26</f>
        <v>Digger, Diesel, Excavator/Tradestaff, Machines, Trade Staff</v>
      </c>
      <c r="C25" s="18" t="str">
        <f>Data!B26</f>
        <v>b16B</v>
      </c>
      <c r="D25" s="18">
        <f>Data!F26</f>
        <v>0</v>
      </c>
      <c r="E25" s="18">
        <f>Data!G26</f>
        <v>0</v>
      </c>
      <c r="F25" s="18">
        <f>Data!H26</f>
        <v>0</v>
      </c>
      <c r="G25" s="18" t="str">
        <f>Data!I26</f>
        <v>Standard Hours</v>
      </c>
      <c r="H25" s="18" t="str">
        <f>Data!K26</f>
        <v>Stopped</v>
      </c>
      <c r="I25" s="18" t="b">
        <f>Data!L26</f>
        <v>0</v>
      </c>
      <c r="J25" s="19" t="str">
        <f>Data!N26</f>
        <v>Morningside: 60 Morningside Road, Morningside, Whangārei 0110, New Zealand</v>
      </c>
      <c r="K25" s="19" t="str">
        <f>Data!O26</f>
        <v>Project</v>
      </c>
      <c r="L25" s="20">
        <f>Data!Q26</f>
        <v>218.27239990234375</v>
      </c>
      <c r="M25" s="21">
        <f>Data!R26</f>
        <v>189.65397986111111</v>
      </c>
      <c r="N25" s="22">
        <f>Data!S26</f>
        <v>45782.836473668984</v>
      </c>
      <c r="O25" s="22">
        <f>Data!T26</f>
        <v>54789.541666666664</v>
      </c>
      <c r="P25" s="23" t="b">
        <f>OR(Data!$B$2&lt;Data!S26,Data!$B$2&gt;Data!T26)</f>
        <v>0</v>
      </c>
      <c r="Q25" s="23" t="str">
        <f>Data!J26</f>
        <v>GO Mode,Garmin,HOS,Iridium,UI</v>
      </c>
      <c r="R25" s="18" t="str">
        <f>Data!U26</f>
        <v>Version 9</v>
      </c>
      <c r="S25" s="18" t="str">
        <f>CONCATENATE(Data!V26,".",Data!W26,".",Data!X26)</f>
        <v>120.42.57</v>
      </c>
      <c r="T25" s="18" t="str">
        <f>Data!Y26</f>
        <v>G9ZT0W7U7AX9</v>
      </c>
      <c r="U25" s="18">
        <f>Data!Z26</f>
        <v>0</v>
      </c>
      <c r="V25" s="18">
        <f>Data!AA26</f>
        <v>0</v>
      </c>
      <c r="W25" s="18">
        <f>Data!AD26</f>
        <v>0</v>
      </c>
      <c r="X25" s="18" t="str">
        <f>Data!AF26</f>
        <v>Pacific/Auckland</v>
      </c>
      <c r="Y25" s="24" t="str">
        <f>IF(ISBLANK(Data!AG26),"",Data!AG26)</f>
        <v>13.5T Hitachi ZX135US-5B 2019</v>
      </c>
      <c r="Z25" s="18" t="str">
        <f>Data!AL26</f>
        <v>OK</v>
      </c>
      <c r="AA25" s="22">
        <f>Data!AH26</f>
        <v>45973.330418865742</v>
      </c>
      <c r="AB25" s="22">
        <f>IF(ISBLANK(Data!AI26),"",Data!AI26)</f>
        <v>45975.853127199072</v>
      </c>
    </row>
    <row r="26" spans="1:28">
      <c r="A26" s="18" t="str">
        <f>Data!A27</f>
        <v>139</v>
      </c>
      <c r="B26" s="18" t="str">
        <f>Data!C27</f>
        <v>Digger, Diesel, Excavator/Tradestaff, Machines, Trade Staff</v>
      </c>
      <c r="C26" s="18" t="str">
        <f>Data!B27</f>
        <v>b17A</v>
      </c>
      <c r="D26" s="18">
        <f>Data!F27</f>
        <v>0</v>
      </c>
      <c r="E26" s="18">
        <f>Data!G27</f>
        <v>0</v>
      </c>
      <c r="F26" s="18">
        <f>Data!H27</f>
        <v>0</v>
      </c>
      <c r="G26" s="18" t="str">
        <f>Data!I27</f>
        <v>Standard Hours</v>
      </c>
      <c r="H26" s="18" t="str">
        <f>Data!K27</f>
        <v>Stopped</v>
      </c>
      <c r="I26" s="18" t="b">
        <f>Data!L27</f>
        <v>0</v>
      </c>
      <c r="J26" s="19" t="str">
        <f>Data!N27</f>
        <v>Kaitaia Wastewater: 5 Eden Terrace, Kaitaia 0410, New Zealand</v>
      </c>
      <c r="K26" s="19" t="str">
        <f>Data!O27</f>
        <v>Project</v>
      </c>
      <c r="L26" s="20">
        <f>Data!Q27</f>
        <v>201.37394714355469</v>
      </c>
      <c r="M26" s="21">
        <f>Data!R27</f>
        <v>103.13083177083334</v>
      </c>
      <c r="N26" s="22">
        <f>Data!S27</f>
        <v>45782.837081898149</v>
      </c>
      <c r="O26" s="22">
        <f>Data!T27</f>
        <v>54789.541666666664</v>
      </c>
      <c r="P26" s="23" t="b">
        <f>OR(Data!$B$2&lt;Data!S27,Data!$B$2&gt;Data!T27)</f>
        <v>0</v>
      </c>
      <c r="Q26" s="23" t="str">
        <f>Data!J27</f>
        <v>GO Mode,Garmin,HOS,Iridium,UI</v>
      </c>
      <c r="R26" s="18" t="str">
        <f>Data!U27</f>
        <v>Version 9</v>
      </c>
      <c r="S26" s="18" t="str">
        <f>CONCATENATE(Data!V27,".",Data!W27,".",Data!X27)</f>
        <v>120.42.57</v>
      </c>
      <c r="T26" s="18" t="str">
        <f>Data!Y27</f>
        <v>G9KESM7CCB7P</v>
      </c>
      <c r="U26" s="18">
        <f>Data!Z27</f>
        <v>0</v>
      </c>
      <c r="V26" s="18">
        <f>Data!AA27</f>
        <v>0</v>
      </c>
      <c r="W26" s="18">
        <f>Data!AD27</f>
        <v>0</v>
      </c>
      <c r="X26" s="18" t="str">
        <f>Data!AF27</f>
        <v>Pacific/Auckland</v>
      </c>
      <c r="Y26" s="24" t="str">
        <f>IF(ISBLANK(Data!AG27),"",Data!AG27)</f>
        <v>13.5T Hitachi ZX135US-5B 2022</v>
      </c>
      <c r="Z26" s="18" t="str">
        <f>Data!AL27</f>
        <v>OK</v>
      </c>
      <c r="AA26" s="22">
        <f>Data!AH27</f>
        <v>45974.654758784724</v>
      </c>
      <c r="AB26" s="22">
        <f>IF(ISBLANK(Data!AI27),"",Data!AI27)</f>
        <v>45975.843705543979</v>
      </c>
    </row>
    <row r="27" spans="1:28">
      <c r="A27" s="18" t="str">
        <f>Data!A28</f>
        <v>140</v>
      </c>
      <c r="B27" s="18" t="str">
        <f>Data!C28</f>
        <v>Digger, Excavator/Tradestaff, Machines, Trade Staff</v>
      </c>
      <c r="C27" s="18" t="str">
        <f>Data!B28</f>
        <v>b165</v>
      </c>
      <c r="D27" s="18">
        <f>Data!F28</f>
        <v>0</v>
      </c>
      <c r="E27" s="18">
        <f>Data!G28</f>
        <v>0</v>
      </c>
      <c r="F27" s="18">
        <f>Data!H28</f>
        <v>0</v>
      </c>
      <c r="G27" s="18" t="str">
        <f>Data!I28</f>
        <v>Standard Hours</v>
      </c>
      <c r="H27" s="18" t="str">
        <f>Data!K28</f>
        <v>Stopped</v>
      </c>
      <c r="I27" s="18" t="b">
        <f>Data!L28</f>
        <v>0</v>
      </c>
      <c r="J27" s="19" t="str">
        <f>Data!N28</f>
        <v>Channel Infrastructure: Timber Trail, Northland Region, New Zealand</v>
      </c>
      <c r="K27" s="19" t="str">
        <f>Data!O28</f>
        <v>Project</v>
      </c>
      <c r="L27" s="20">
        <f>Data!Q28</f>
        <v>10.799478530883789</v>
      </c>
      <c r="M27" s="21">
        <f>Data!R28</f>
        <v>52.547707650462961</v>
      </c>
      <c r="N27" s="22">
        <f>Data!S28</f>
        <v>45782.838778043981</v>
      </c>
      <c r="O27" s="22">
        <f>Data!T28</f>
        <v>54789.541666666664</v>
      </c>
      <c r="P27" s="23" t="b">
        <f>OR(Data!$B$2&lt;Data!S28,Data!$B$2&gt;Data!T28)</f>
        <v>0</v>
      </c>
      <c r="Q27" s="23" t="str">
        <f>Data!J28</f>
        <v>GO Mode,Garmin,HOS,Iridium,UI</v>
      </c>
      <c r="R27" s="18" t="str">
        <f>Data!U28</f>
        <v>Version 9</v>
      </c>
      <c r="S27" s="18" t="str">
        <f>CONCATENATE(Data!V28,".",Data!W28,".",Data!X28)</f>
        <v>120.42.57</v>
      </c>
      <c r="T27" s="18" t="str">
        <f>Data!Y28</f>
        <v>G95WT8P1KVE4</v>
      </c>
      <c r="U27" s="18">
        <f>Data!Z28</f>
        <v>0</v>
      </c>
      <c r="V27" s="18">
        <f>Data!AA28</f>
        <v>0</v>
      </c>
      <c r="W27" s="18">
        <f>Data!AD28</f>
        <v>0</v>
      </c>
      <c r="X27" s="18" t="str">
        <f>Data!AF28</f>
        <v>Pacific/Auckland</v>
      </c>
      <c r="Y27" s="24" t="str">
        <f>IF(ISBLANK(Data!AG28),"",Data!AG28)</f>
        <v>2.6T Hitachi ZX26U-5A 2022</v>
      </c>
      <c r="Z27" s="18" t="str">
        <f>Data!AL28</f>
        <v>OK</v>
      </c>
      <c r="AA27" s="22">
        <f>Data!AH28</f>
        <v>45974.632743310183</v>
      </c>
      <c r="AB27" s="22">
        <f>IF(ISBLANK(Data!AI28),"",Data!AI28)</f>
        <v>45975.500069699076</v>
      </c>
    </row>
    <row r="28" spans="1:28">
      <c r="A28" s="18" t="str">
        <f>Data!A29</f>
        <v>141</v>
      </c>
      <c r="B28" s="18" t="str">
        <f>Data!C29</f>
        <v>Digger, Excavator/Tradestaff, Machines, Trade Staff</v>
      </c>
      <c r="C28" s="18" t="str">
        <f>Data!B29</f>
        <v>b175</v>
      </c>
      <c r="D28" s="18" t="str">
        <f>Data!F29</f>
        <v>Paul</v>
      </c>
      <c r="E28" s="18" t="str">
        <f>Data!G29</f>
        <v>Travers</v>
      </c>
      <c r="F28" s="18" t="str">
        <f>Data!H29</f>
        <v>paul.travers</v>
      </c>
      <c r="G28" s="18" t="str">
        <f>Data!I29</f>
        <v>Standard Hours</v>
      </c>
      <c r="H28" s="18" t="str">
        <f>Data!K29</f>
        <v>Stopped</v>
      </c>
      <c r="I28" s="18" t="b">
        <f>Data!L29</f>
        <v>0</v>
      </c>
      <c r="J28" s="19" t="str">
        <f>Data!N29</f>
        <v>Morningside: 80 Morningside Road, Morningside, Whangārei 0110, New Zealand</v>
      </c>
      <c r="K28" s="19" t="str">
        <f>Data!O29</f>
        <v>Project</v>
      </c>
      <c r="L28" s="20">
        <f>Data!Q29</f>
        <v>1909.9971923828125</v>
      </c>
      <c r="M28" s="21">
        <f>Data!R29</f>
        <v>90.6</v>
      </c>
      <c r="N28" s="22">
        <f>Data!S29</f>
        <v>45782.839315648147</v>
      </c>
      <c r="O28" s="22">
        <f>Data!T29</f>
        <v>54789.541666666664</v>
      </c>
      <c r="P28" s="23" t="b">
        <f>OR(Data!$B$2&lt;Data!S29,Data!$B$2&gt;Data!T29)</f>
        <v>0</v>
      </c>
      <c r="Q28" s="23" t="str">
        <f>Data!J29</f>
        <v>GO Mode,Garmin,HOS,Iridium,UI</v>
      </c>
      <c r="R28" s="18" t="str">
        <f>Data!U29</f>
        <v>Version 9</v>
      </c>
      <c r="S28" s="18" t="str">
        <f>CONCATENATE(Data!V29,".",Data!W29,".",Data!X29)</f>
        <v>120.42.57</v>
      </c>
      <c r="T28" s="18" t="str">
        <f>Data!Y29</f>
        <v>G97JWZZS6MBT</v>
      </c>
      <c r="U28" s="18">
        <f>Data!Z29</f>
        <v>0</v>
      </c>
      <c r="V28" s="18">
        <f>Data!AA29</f>
        <v>0</v>
      </c>
      <c r="W28" s="18">
        <f>Data!AD29</f>
        <v>0</v>
      </c>
      <c r="X28" s="18" t="str">
        <f>Data!AF29</f>
        <v>Pacific/Auckland</v>
      </c>
      <c r="Y28" s="24" t="str">
        <f>IF(ISBLANK(Data!AG29),"",Data!AG29)</f>
        <v>6T Hitachi ZX65USB-5A 2022</v>
      </c>
      <c r="Z28" s="18" t="str">
        <f>Data!AL29</f>
        <v>OK</v>
      </c>
      <c r="AA28" s="22">
        <f>Data!AH29</f>
        <v>45975.642728344908</v>
      </c>
      <c r="AB28" s="22">
        <f>IF(ISBLANK(Data!AI29),"",Data!AI29)</f>
        <v>45975.857554733797</v>
      </c>
    </row>
    <row r="29" spans="1:28">
      <c r="A29" s="18" t="str">
        <f>Data!A30</f>
        <v>142</v>
      </c>
      <c r="B29" s="18" t="str">
        <f>Data!C30</f>
        <v>Digger, Excavator/Tradestaff, Machines, Trade Staff</v>
      </c>
      <c r="C29" s="18" t="str">
        <f>Data!B30</f>
        <v>b167</v>
      </c>
      <c r="D29" s="18" t="str">
        <f>Data!F30</f>
        <v>Jay</v>
      </c>
      <c r="E29" s="18" t="str">
        <f>Data!G30</f>
        <v>Libarnes</v>
      </c>
      <c r="F29" s="18" t="str">
        <f>Data!H30</f>
        <v>jay.libarnes</v>
      </c>
      <c r="G29" s="18" t="str">
        <f>Data!I30</f>
        <v>Standard Hours</v>
      </c>
      <c r="H29" s="18" t="str">
        <f>Data!K30</f>
        <v>Stopped</v>
      </c>
      <c r="I29" s="18" t="b">
        <f>Data!L30</f>
        <v>0</v>
      </c>
      <c r="J29" s="19" t="str">
        <f>Data!N30</f>
        <v>Morningside: 65 Morningside Rd, Northland Region 0110, New Zealand</v>
      </c>
      <c r="K29" s="19" t="str">
        <f>Data!O30</f>
        <v>Project</v>
      </c>
      <c r="L29" s="20">
        <f>Data!Q30</f>
        <v>584.02374267578125</v>
      </c>
      <c r="M29" s="21">
        <f>Data!R30</f>
        <v>61.608333819444447</v>
      </c>
      <c r="N29" s="22">
        <f>Data!S30</f>
        <v>45842.406734050928</v>
      </c>
      <c r="O29" s="22">
        <f>Data!T30</f>
        <v>54789.541666666664</v>
      </c>
      <c r="P29" s="23" t="b">
        <f>OR(Data!$B$2&lt;Data!S30,Data!$B$2&gt;Data!T30)</f>
        <v>0</v>
      </c>
      <c r="Q29" s="23" t="str">
        <f>Data!J30</f>
        <v>GO Mode,Garmin,HOS,Iridium,UI</v>
      </c>
      <c r="R29" s="18" t="str">
        <f>Data!U30</f>
        <v>Version 9</v>
      </c>
      <c r="S29" s="18" t="str">
        <f>CONCATENATE(Data!V30,".",Data!W30,".",Data!X30)</f>
        <v>120.42.57</v>
      </c>
      <c r="T29" s="18" t="str">
        <f>Data!Y30</f>
        <v>G94CDT2RF5R3</v>
      </c>
      <c r="U29" s="18">
        <f>Data!Z30</f>
        <v>0</v>
      </c>
      <c r="V29" s="18">
        <f>Data!AA30</f>
        <v>0</v>
      </c>
      <c r="W29" s="18">
        <f>Data!AD30</f>
        <v>0</v>
      </c>
      <c r="X29" s="18" t="str">
        <f>Data!AF30</f>
        <v>Pacific/Auckland</v>
      </c>
      <c r="Y29" s="24" t="str">
        <f>IF(ISBLANK(Data!AG30),"",Data!AG30)</f>
        <v>6T Hitachi ZX65USB-5A 2022</v>
      </c>
      <c r="Z29" s="18" t="str">
        <f>Data!AL30</f>
        <v>OK</v>
      </c>
      <c r="AA29" s="22">
        <f>Data!AH30</f>
        <v>45975.823371365739</v>
      </c>
      <c r="AB29" s="22">
        <f>IF(ISBLANK(Data!AI30),"",Data!AI30)</f>
        <v>45975.845408402776</v>
      </c>
    </row>
    <row r="30" spans="1:28">
      <c r="A30" s="18" t="str">
        <f>Data!A31</f>
        <v>143</v>
      </c>
      <c r="B30" s="18" t="str">
        <f>Data!C31</f>
        <v>Digger, Excavator/Tradestaff, Machines, Trade Staff</v>
      </c>
      <c r="C30" s="18" t="str">
        <f>Data!B31</f>
        <v>b15F</v>
      </c>
      <c r="D30" s="18">
        <f>Data!F31</f>
        <v>0</v>
      </c>
      <c r="E30" s="18">
        <f>Data!G31</f>
        <v>0</v>
      </c>
      <c r="F30" s="18">
        <f>Data!H31</f>
        <v>0</v>
      </c>
      <c r="G30" s="18" t="str">
        <f>Data!I31</f>
        <v>Standard Hours</v>
      </c>
      <c r="H30" s="18" t="str">
        <f>Data!K31</f>
        <v>Stopped</v>
      </c>
      <c r="I30" s="18" t="b">
        <f>Data!L31</f>
        <v>0</v>
      </c>
      <c r="J30" s="19" t="str">
        <f>Data!N31</f>
        <v>Kaikohe Work Area: 29 Wihongi Street, Kaikohe 0405, New Zealand</v>
      </c>
      <c r="K30" s="19" t="str">
        <f>Data!O31</f>
        <v>Project</v>
      </c>
      <c r="L30" s="20">
        <f>Data!Q31</f>
        <v>439.5015869140625</v>
      </c>
      <c r="M30" s="21">
        <f>Data!R31</f>
        <v>57.830749733796296</v>
      </c>
      <c r="N30" s="22">
        <f>Data!S31</f>
        <v>45782.833584560183</v>
      </c>
      <c r="O30" s="22">
        <f>Data!T31</f>
        <v>54789.541666666664</v>
      </c>
      <c r="P30" s="23" t="b">
        <f>OR(Data!$B$2&lt;Data!S31,Data!$B$2&gt;Data!T31)</f>
        <v>0</v>
      </c>
      <c r="Q30" s="23" t="str">
        <f>Data!J31</f>
        <v>GO Mode,Garmin,HOS,Iridium,UI</v>
      </c>
      <c r="R30" s="18" t="str">
        <f>Data!U31</f>
        <v>Version 9</v>
      </c>
      <c r="S30" s="18" t="str">
        <f>CONCATENATE(Data!V31,".",Data!W31,".",Data!X31)</f>
        <v>120.42.57</v>
      </c>
      <c r="T30" s="18" t="str">
        <f>Data!Y31</f>
        <v>G97CJZK7PW0N</v>
      </c>
      <c r="U30" s="18">
        <f>Data!Z31</f>
        <v>0</v>
      </c>
      <c r="V30" s="18">
        <f>Data!AA31</f>
        <v>0</v>
      </c>
      <c r="W30" s="18">
        <f>Data!AD31</f>
        <v>0</v>
      </c>
      <c r="X30" s="18" t="str">
        <f>Data!AF31</f>
        <v>Pacific/Auckland</v>
      </c>
      <c r="Y30" s="24" t="str">
        <f>IF(ISBLANK(Data!AG31),"",Data!AG31)</f>
        <v>2.6T Hitachi ZX26U-5A 2022</v>
      </c>
      <c r="Z30" s="18" t="str">
        <f>Data!AL31</f>
        <v>OK</v>
      </c>
      <c r="AA30" s="22">
        <f>Data!AH31</f>
        <v>45974.483289398151</v>
      </c>
      <c r="AB30" s="22">
        <f>IF(ISBLANK(Data!AI31),"",Data!AI31)</f>
        <v>45975.860708379631</v>
      </c>
    </row>
    <row r="31" spans="1:28">
      <c r="A31" s="18" t="str">
        <f>Data!A32</f>
        <v>144</v>
      </c>
      <c r="B31" s="18" t="str">
        <f>Data!C32</f>
        <v>Digger, Excavator/Tradestaff, Machines, Trade Staff</v>
      </c>
      <c r="C31" s="18" t="str">
        <f>Data!B32</f>
        <v>b172</v>
      </c>
      <c r="D31" s="18">
        <f>Data!F32</f>
        <v>0</v>
      </c>
      <c r="E31" s="18">
        <f>Data!G32</f>
        <v>0</v>
      </c>
      <c r="F31" s="18">
        <f>Data!H32</f>
        <v>0</v>
      </c>
      <c r="G31" s="18" t="str">
        <f>Data!I32</f>
        <v>Standard Hours</v>
      </c>
      <c r="H31" s="18" t="str">
        <f>Data!K32</f>
        <v>Stopped</v>
      </c>
      <c r="I31" s="18" t="b">
        <f>Data!L32</f>
        <v>0</v>
      </c>
      <c r="J31" s="19" t="str">
        <f>Data!N32</f>
        <v>United Civil Head Office: 19B Rewa Rewa Road, Raumanga, Whangārei 0110, New Zealand</v>
      </c>
      <c r="K31" s="19" t="str">
        <f>Data!O32</f>
        <v>Office Zone</v>
      </c>
      <c r="L31" s="20">
        <f>Data!Q32</f>
        <v>494.29266357421875</v>
      </c>
      <c r="M31" s="21">
        <f>Data!R32</f>
        <v>518.81554966435181</v>
      </c>
      <c r="N31" s="22">
        <f>Data!S32</f>
        <v>45782.841357546298</v>
      </c>
      <c r="O31" s="22">
        <f>Data!T32</f>
        <v>54789.541666666664</v>
      </c>
      <c r="P31" s="23" t="b">
        <f>OR(Data!$B$2&lt;Data!S32,Data!$B$2&gt;Data!T32)</f>
        <v>0</v>
      </c>
      <c r="Q31" s="23" t="str">
        <f>Data!J32</f>
        <v>GO Mode,Garmin,HOS,Iridium,UI</v>
      </c>
      <c r="R31" s="18" t="str">
        <f>Data!U32</f>
        <v>Version 9</v>
      </c>
      <c r="S31" s="18" t="str">
        <f>CONCATENATE(Data!V32,".",Data!W32,".",Data!X32)</f>
        <v>120.37.27</v>
      </c>
      <c r="T31" s="18" t="str">
        <f>Data!Y32</f>
        <v>G9CH5398MV5N</v>
      </c>
      <c r="U31" s="18">
        <f>Data!Z32</f>
        <v>0</v>
      </c>
      <c r="V31" s="18">
        <f>Data!AA32</f>
        <v>0</v>
      </c>
      <c r="W31" s="18">
        <f>Data!AD32</f>
        <v>0</v>
      </c>
      <c r="X31" s="18" t="str">
        <f>Data!AF32</f>
        <v>Pacific/Auckland</v>
      </c>
      <c r="Y31" s="24" t="str">
        <f>IF(ISBLANK(Data!AG32),"",Data!AG32)</f>
        <v>14.5T Hyundai R145CRD-9 2012</v>
      </c>
      <c r="Z31" s="18" t="str">
        <f>Data!AL32</f>
        <v>Device is not downloading data</v>
      </c>
      <c r="AA31" s="22">
        <f>Data!AH32</f>
        <v>45968.54440298611</v>
      </c>
      <c r="AB31" s="22">
        <f>IF(ISBLANK(Data!AI32),"",Data!AI32)</f>
        <v>45968.544588171295</v>
      </c>
    </row>
    <row r="32" spans="1:28">
      <c r="A32" s="18" t="str">
        <f>Data!A33</f>
        <v>146</v>
      </c>
      <c r="B32" s="18" t="str">
        <f>Data!C33</f>
        <v>Electric Vehicles, Battery Electric Vehicle, Fuel Cell Electric Vehicle, Manually Classified Powertrain, Excavator/Tradestaff, Machines</v>
      </c>
      <c r="C32" s="18" t="str">
        <f>Data!B33</f>
        <v>b107</v>
      </c>
      <c r="D32" s="18">
        <f>Data!F33</f>
        <v>0</v>
      </c>
      <c r="E32" s="18">
        <f>Data!G33</f>
        <v>0</v>
      </c>
      <c r="F32" s="18">
        <f>Data!H33</f>
        <v>0</v>
      </c>
      <c r="G32" s="18" t="str">
        <f>Data!I33</f>
        <v>Standard Hours</v>
      </c>
      <c r="H32" s="18" t="str">
        <f>Data!K33</f>
        <v>Stopped</v>
      </c>
      <c r="I32" s="18" t="b">
        <f>Data!L33</f>
        <v>0</v>
      </c>
      <c r="J32" s="19" t="str">
        <f>Data!N33</f>
        <v>Channel Infrastructure: 839 Port Marsden Highway, Marsden Point 0171, New Zealand</v>
      </c>
      <c r="K32" s="19" t="str">
        <f>Data!O33</f>
        <v>Project</v>
      </c>
      <c r="L32" s="20">
        <f>Data!Q33</f>
        <v>11.266311645507813</v>
      </c>
      <c r="M32" s="21">
        <f>Data!R33</f>
        <v>7.1712034375</v>
      </c>
      <c r="N32" s="22">
        <f>Data!S33</f>
        <v>45724.472683888889</v>
      </c>
      <c r="O32" s="22">
        <f>Data!T33</f>
        <v>54789.541666666664</v>
      </c>
      <c r="P32" s="23" t="b">
        <f>OR(Data!$B$2&lt;Data!S33,Data!$B$2&gt;Data!T33)</f>
        <v>0</v>
      </c>
      <c r="Q32" s="23" t="str">
        <f>Data!J33</f>
        <v>GO Mode,Garmin,HOS,Iridium,UI</v>
      </c>
      <c r="R32" s="18" t="str">
        <f>Data!U33</f>
        <v>Version 9</v>
      </c>
      <c r="S32" s="18" t="str">
        <f>CONCATENATE(Data!V33,".",Data!W33,".",Data!X33)</f>
        <v>120.42.55</v>
      </c>
      <c r="T32" s="18" t="str">
        <f>Data!Y33</f>
        <v>G918211C3B1E</v>
      </c>
      <c r="U32" s="18">
        <f>Data!Z33</f>
        <v>0</v>
      </c>
      <c r="V32" s="18">
        <f>Data!AA33</f>
        <v>0</v>
      </c>
      <c r="W32" s="18">
        <f>Data!AD33</f>
        <v>0</v>
      </c>
      <c r="X32" s="18" t="str">
        <f>Data!AF33</f>
        <v>Pacific/Auckland</v>
      </c>
      <c r="Y32" s="24" t="str">
        <f>IF(ISBLANK(Data!AG33),"",Data!AG33)</f>
        <v>Etrucks EV Digger</v>
      </c>
      <c r="Z32" s="18" t="str">
        <f>Data!AL33</f>
        <v>Device is not downloading data</v>
      </c>
      <c r="AA32" s="22">
        <f>Data!AH33</f>
        <v>45919.361797743055</v>
      </c>
      <c r="AB32" s="22">
        <f>IF(ISBLANK(Data!AI33),"",Data!AI33)</f>
        <v>45955.788811631945</v>
      </c>
    </row>
    <row r="33" spans="1:28">
      <c r="A33" s="18" t="str">
        <f>Data!A34</f>
        <v>200</v>
      </c>
      <c r="B33" s="18" t="str">
        <f>Data!C34</f>
        <v>Loader, Loader/Trade Staff, Machines</v>
      </c>
      <c r="C33" s="18" t="str">
        <f>Data!B34</f>
        <v>b16C</v>
      </c>
      <c r="D33" s="18" t="str">
        <f>Data!F34</f>
        <v>Moses</v>
      </c>
      <c r="E33" s="18" t="str">
        <f>Data!G34</f>
        <v>Tito</v>
      </c>
      <c r="F33" s="18" t="str">
        <f>Data!H34</f>
        <v>moses.tito</v>
      </c>
      <c r="G33" s="18" t="str">
        <f>Data!I34</f>
        <v>Standard Hours</v>
      </c>
      <c r="H33" s="18" t="str">
        <f>Data!K34</f>
        <v>Stopped</v>
      </c>
      <c r="I33" s="18" t="b">
        <f>Data!L34</f>
        <v>0</v>
      </c>
      <c r="J33" s="19" t="str">
        <f>Data!N34</f>
        <v>Kaikohe: 13 Carey Road, Kaikohe 0474, New Zealand</v>
      </c>
      <c r="K33" s="19" t="str">
        <f>Data!O34</f>
        <v>Project</v>
      </c>
      <c r="L33" s="20">
        <f>Data!Q34</f>
        <v>1218.7342529296875</v>
      </c>
      <c r="M33" s="21">
        <f>Data!R34</f>
        <v>339.09583333333336</v>
      </c>
      <c r="N33" s="22">
        <f>Data!S34</f>
        <v>45826.451902974535</v>
      </c>
      <c r="O33" s="22">
        <f>Data!T34</f>
        <v>54789.541666666664</v>
      </c>
      <c r="P33" s="23" t="b">
        <f>OR(Data!$B$2&lt;Data!S34,Data!$B$2&gt;Data!T34)</f>
        <v>0</v>
      </c>
      <c r="Q33" s="23" t="str">
        <f>Data!J34</f>
        <v>GO Mode,Garmin,HOS,Iridium,UI</v>
      </c>
      <c r="R33" s="18" t="str">
        <f>Data!U34</f>
        <v>Version 9</v>
      </c>
      <c r="S33" s="18" t="str">
        <f>CONCATENATE(Data!V34,".",Data!W34,".",Data!X34)</f>
        <v>120.42.57</v>
      </c>
      <c r="T33" s="18" t="str">
        <f>Data!Y34</f>
        <v>G9XMUXRXUHFA</v>
      </c>
      <c r="U33" s="18" t="str">
        <f>Data!Z34</f>
        <v>DNF822</v>
      </c>
      <c r="V33" s="18">
        <f>Data!AA34</f>
        <v>0</v>
      </c>
      <c r="W33" s="18">
        <f>Data!AD34</f>
        <v>0</v>
      </c>
      <c r="X33" s="18" t="str">
        <f>Data!AF34</f>
        <v>Pacific/Auckland</v>
      </c>
      <c r="Y33" s="24" t="str">
        <f>IF(ISBLANK(Data!AG34),"",Data!AG34)</f>
        <v>14T Hyundai HL757-7 2006</v>
      </c>
      <c r="Z33" s="18" t="str">
        <f>Data!AL34</f>
        <v>OK</v>
      </c>
      <c r="AA33" s="22">
        <f>Data!AH34</f>
        <v>45975.646483379627</v>
      </c>
      <c r="AB33" s="22">
        <f>IF(ISBLANK(Data!AI34),"",Data!AI34)</f>
        <v>45975.856159305557</v>
      </c>
    </row>
    <row r="34" spans="1:28">
      <c r="A34" s="18" t="str">
        <f>Data!A35</f>
        <v>202</v>
      </c>
      <c r="B34" s="18" t="str">
        <f>Data!C35</f>
        <v>Loader, Loader/Trade Staff, Machines, Trade Staff</v>
      </c>
      <c r="C34" s="18" t="str">
        <f>Data!B35</f>
        <v>b169</v>
      </c>
      <c r="D34" s="18" t="str">
        <f>Data!F35</f>
        <v>Izak</v>
      </c>
      <c r="E34" s="18" t="str">
        <f>Data!G35</f>
        <v>Proctor</v>
      </c>
      <c r="F34" s="18" t="str">
        <f>Data!H35</f>
        <v>izak.proctor</v>
      </c>
      <c r="G34" s="18" t="str">
        <f>Data!I35</f>
        <v>Standard Hours</v>
      </c>
      <c r="H34" s="18" t="str">
        <f>Data!K35</f>
        <v>Stopped</v>
      </c>
      <c r="I34" s="18" t="b">
        <f>Data!L35</f>
        <v>0</v>
      </c>
      <c r="J34" s="19" t="str">
        <f>Data!N35</f>
        <v>Gillingham Road: 62A Gillingham Road, Te Kamo, Whangārei 0112, New Zealand</v>
      </c>
      <c r="K34" s="19" t="str">
        <f>Data!O35</f>
        <v>Project</v>
      </c>
      <c r="L34" s="20">
        <f>Data!Q35</f>
        <v>33.721221923828125</v>
      </c>
      <c r="M34" s="21">
        <f>Data!R35</f>
        <v>140.67288752314815</v>
      </c>
      <c r="N34" s="22">
        <f>Data!S35</f>
        <v>45782.842076712965</v>
      </c>
      <c r="O34" s="22">
        <f>Data!T35</f>
        <v>54789.541666666664</v>
      </c>
      <c r="P34" s="23" t="b">
        <f>OR(Data!$B$2&lt;Data!S35,Data!$B$2&gt;Data!T35)</f>
        <v>0</v>
      </c>
      <c r="Q34" s="23" t="str">
        <f>Data!J35</f>
        <v>GO Mode,Garmin,HOS,Iridium,UI</v>
      </c>
      <c r="R34" s="18" t="str">
        <f>Data!U35</f>
        <v>Version 9</v>
      </c>
      <c r="S34" s="18" t="str">
        <f>CONCATENATE(Data!V35,".",Data!W35,".",Data!X35)</f>
        <v>120.42.57</v>
      </c>
      <c r="T34" s="18" t="str">
        <f>Data!Y35</f>
        <v>G9H18PAP17UE</v>
      </c>
      <c r="U34" s="18" t="str">
        <f>Data!Z35</f>
        <v>JJL907</v>
      </c>
      <c r="V34" s="18">
        <f>Data!AA35</f>
        <v>0</v>
      </c>
      <c r="W34" s="18">
        <f>Data!AD35</f>
        <v>0</v>
      </c>
      <c r="X34" s="18" t="str">
        <f>Data!AF35</f>
        <v>Pacific/Auckland</v>
      </c>
      <c r="Y34" s="24" t="str">
        <f>IF(ISBLANK(Data!AG35),"",Data!AG35)</f>
        <v>5T Kubota R520S 2014</v>
      </c>
      <c r="Z34" s="18" t="str">
        <f>Data!AL35</f>
        <v>OK</v>
      </c>
      <c r="AA34" s="22">
        <f>Data!AH35</f>
        <v>45973.311922743058</v>
      </c>
      <c r="AB34" s="22">
        <f>IF(ISBLANK(Data!AI35),"",Data!AI35)</f>
        <v>45975.666089409722</v>
      </c>
    </row>
    <row r="35" spans="1:28">
      <c r="A35" s="18" t="str">
        <f>Data!A36</f>
        <v>203</v>
      </c>
      <c r="B35" s="18" t="str">
        <f>Data!C36</f>
        <v>Loader, Loader/Trade Staff, Machines, Trade Staff</v>
      </c>
      <c r="C35" s="18" t="str">
        <f>Data!B36</f>
        <v>b168</v>
      </c>
      <c r="D35" s="18">
        <f>Data!F36</f>
        <v>0</v>
      </c>
      <c r="E35" s="18">
        <f>Data!G36</f>
        <v>0</v>
      </c>
      <c r="F35" s="18">
        <f>Data!H36</f>
        <v>0</v>
      </c>
      <c r="G35" s="18" t="str">
        <f>Data!I36</f>
        <v>Standard Hours</v>
      </c>
      <c r="H35" s="18" t="str">
        <f>Data!K36</f>
        <v>Stopped</v>
      </c>
      <c r="I35" s="18" t="b">
        <f>Data!L36</f>
        <v>0</v>
      </c>
      <c r="J35" s="19" t="str">
        <f>Data!N36</f>
        <v>Channel Infrastructure: Timber Trail, Northland Region, New Zealand</v>
      </c>
      <c r="K35" s="19" t="str">
        <f>Data!O36</f>
        <v>Project</v>
      </c>
      <c r="L35" s="20">
        <f>Data!Q36</f>
        <v>1046.334228515625</v>
      </c>
      <c r="M35" s="21">
        <f>Data!R36</f>
        <v>158.27463120370371</v>
      </c>
      <c r="N35" s="22">
        <f>Data!S36</f>
        <v>45782.842574618058</v>
      </c>
      <c r="O35" s="22">
        <f>Data!T36</f>
        <v>54789.541666666664</v>
      </c>
      <c r="P35" s="23" t="b">
        <f>OR(Data!$B$2&lt;Data!S36,Data!$B$2&gt;Data!T36)</f>
        <v>0</v>
      </c>
      <c r="Q35" s="23" t="str">
        <f>Data!J36</f>
        <v>GO Mode,Garmin,HOS,Iridium,UI</v>
      </c>
      <c r="R35" s="18" t="str">
        <f>Data!U36</f>
        <v>Version 9</v>
      </c>
      <c r="S35" s="18" t="str">
        <f>CONCATENATE(Data!V36,".",Data!W36,".",Data!X36)</f>
        <v>120.42.57</v>
      </c>
      <c r="T35" s="18" t="str">
        <f>Data!Y36</f>
        <v>G9N7PTSZASUX</v>
      </c>
      <c r="U35" s="18" t="str">
        <f>Data!Z36</f>
        <v>B9BKT</v>
      </c>
      <c r="V35" s="18">
        <f>Data!AA36</f>
        <v>0</v>
      </c>
      <c r="W35" s="18">
        <f>Data!AD36</f>
        <v>0</v>
      </c>
      <c r="X35" s="18" t="str">
        <f>Data!AF36</f>
        <v>Pacific/Auckland</v>
      </c>
      <c r="Y35" s="24" t="str">
        <f>IF(ISBLANK(Data!AG36),"",Data!AG36)</f>
        <v>3T Kubota R420S 2014</v>
      </c>
      <c r="Z35" s="18" t="str">
        <f>Data!AL36</f>
        <v>OK</v>
      </c>
      <c r="AA35" s="22">
        <f>Data!AH36</f>
        <v>45975.657040486112</v>
      </c>
      <c r="AB35" s="22">
        <f>IF(ISBLANK(Data!AI36),"",Data!AI36)</f>
        <v>45975.848186319447</v>
      </c>
    </row>
    <row r="36" spans="1:28">
      <c r="A36" s="18" t="str">
        <f>Data!A37</f>
        <v>204</v>
      </c>
      <c r="B36" s="18" t="str">
        <f>Data!C37</f>
        <v>Loader, Loader/Trade Staff</v>
      </c>
      <c r="C36" s="18" t="str">
        <f>Data!B37</f>
        <v>b307</v>
      </c>
      <c r="D36" s="18">
        <f>Data!F37</f>
        <v>0</v>
      </c>
      <c r="E36" s="18">
        <f>Data!G37</f>
        <v>0</v>
      </c>
      <c r="F36" s="18">
        <f>Data!H37</f>
        <v>0</v>
      </c>
      <c r="G36" s="18" t="str">
        <f>Data!I37</f>
        <v>Standard Hours</v>
      </c>
      <c r="H36" s="18">
        <f>Data!K37</f>
        <v>0</v>
      </c>
      <c r="I36" s="18" t="b">
        <f>Data!L37</f>
        <v>0</v>
      </c>
      <c r="J36" s="19">
        <f>Data!N37</f>
        <v>0</v>
      </c>
      <c r="K36" s="19">
        <f>Data!O37</f>
        <v>0</v>
      </c>
      <c r="L36" s="20">
        <f>Data!Q37</f>
        <v>0</v>
      </c>
      <c r="M36" s="21">
        <f>Data!R37</f>
        <v>205.41666666666666</v>
      </c>
      <c r="N36" s="22">
        <f>Data!S37</f>
        <v>45959.562793750003</v>
      </c>
      <c r="O36" s="22">
        <f>Data!T37</f>
        <v>54789.541666666664</v>
      </c>
      <c r="P36" s="23" t="b">
        <f>OR(Data!$B$2&lt;Data!S37,Data!$B$2&gt;Data!T37)</f>
        <v>0</v>
      </c>
      <c r="Q36" s="23">
        <f>Data!J37</f>
        <v>0</v>
      </c>
      <c r="R36" s="18" t="str">
        <f>Data!U37</f>
        <v>None</v>
      </c>
      <c r="S36" s="18" t="str">
        <f>CONCATENATE(Data!V37,".",Data!W37,".",Data!X37)</f>
        <v>-1..</v>
      </c>
      <c r="T36" s="18">
        <f>Data!Y37</f>
        <v>0</v>
      </c>
      <c r="U36" s="18">
        <f>Data!Z37</f>
        <v>0</v>
      </c>
      <c r="V36" s="18">
        <f>Data!AA37</f>
        <v>0</v>
      </c>
      <c r="W36" s="18">
        <f>Data!AD37</f>
        <v>0</v>
      </c>
      <c r="X36" s="18" t="str">
        <f>Data!AF37</f>
        <v>UTC</v>
      </c>
      <c r="Y36" s="24" t="str">
        <f>IF(ISBLANK(Data!AG37),"",Data!AG37)</f>
        <v>18T Landex XCMG LW500K 2016</v>
      </c>
      <c r="Z36" s="18">
        <f>Data!AL37</f>
        <v>0</v>
      </c>
      <c r="AA36" s="22">
        <f>Data!AH37</f>
        <v>0</v>
      </c>
      <c r="AB36" s="22" t="str">
        <f>IF(ISBLANK(Data!AI37),"",Data!AI37)</f>
        <v/>
      </c>
    </row>
    <row r="37" spans="1:28">
      <c r="A37" s="18" t="str">
        <f>Data!A38</f>
        <v>206</v>
      </c>
      <c r="B37" s="18" t="str">
        <f>Data!C38</f>
        <v>Loader, Machines, Telehandler/Trade Staff, Trade Staff</v>
      </c>
      <c r="C37" s="18" t="str">
        <f>Data!B38</f>
        <v>b162</v>
      </c>
      <c r="D37" s="18">
        <f>Data!F38</f>
        <v>0</v>
      </c>
      <c r="E37" s="18">
        <f>Data!G38</f>
        <v>0</v>
      </c>
      <c r="F37" s="18">
        <f>Data!H38</f>
        <v>0</v>
      </c>
      <c r="G37" s="18" t="str">
        <f>Data!I38</f>
        <v>Standard Hours</v>
      </c>
      <c r="H37" s="18" t="str">
        <f>Data!K38</f>
        <v>Stopped</v>
      </c>
      <c r="I37" s="18" t="b">
        <f>Data!L38</f>
        <v>0</v>
      </c>
      <c r="J37" s="19" t="str">
        <f>Data!N38</f>
        <v>Kaikohe: 8 Lindvart Street, Kaikohe 0474, New Zealand</v>
      </c>
      <c r="K37" s="19" t="str">
        <f>Data!O38</f>
        <v>Project</v>
      </c>
      <c r="L37" s="20">
        <f>Data!Q38</f>
        <v>577.3826904296875</v>
      </c>
      <c r="M37" s="21">
        <f>Data!R38</f>
        <v>110.68750001157407</v>
      </c>
      <c r="N37" s="22">
        <f>Data!S38</f>
        <v>45782.843141423611</v>
      </c>
      <c r="O37" s="22">
        <f>Data!T38</f>
        <v>54789.541666666664</v>
      </c>
      <c r="P37" s="23" t="b">
        <f>OR(Data!$B$2&lt;Data!S38,Data!$B$2&gt;Data!T38)</f>
        <v>0</v>
      </c>
      <c r="Q37" s="23" t="str">
        <f>Data!J38</f>
        <v>GO Mode,Garmin,HOS,Iridium,UI</v>
      </c>
      <c r="R37" s="18" t="str">
        <f>Data!U38</f>
        <v>Version 9</v>
      </c>
      <c r="S37" s="18" t="str">
        <f>CONCATENATE(Data!V38,".",Data!W38,".",Data!X38)</f>
        <v>120.42.57</v>
      </c>
      <c r="T37" s="18" t="str">
        <f>Data!Y38</f>
        <v>G9PMT34EV9EP</v>
      </c>
      <c r="U37" s="18" t="str">
        <f>Data!Z38</f>
        <v>QPW244</v>
      </c>
      <c r="V37" s="18">
        <f>Data!AA38</f>
        <v>0</v>
      </c>
      <c r="W37" s="18">
        <f>Data!AD38</f>
        <v>0</v>
      </c>
      <c r="X37" s="18" t="str">
        <f>Data!AF38</f>
        <v>Pacific/Auckland</v>
      </c>
      <c r="Y37" s="24" t="str">
        <f>IF(ISBLANK(Data!AG38),"",Data!AG38)</f>
        <v>7T Manitou MLT-X732</v>
      </c>
      <c r="Z37" s="18" t="str">
        <f>Data!AL38</f>
        <v>OK</v>
      </c>
      <c r="AA37" s="22">
        <f>Data!AH38</f>
        <v>45975.620366423609</v>
      </c>
      <c r="AB37" s="22">
        <f>IF(ISBLANK(Data!AI38),"",Data!AI38)</f>
        <v>45975.850921979167</v>
      </c>
    </row>
    <row r="38" spans="1:28">
      <c r="A38" s="18" t="str">
        <f>Data!A39</f>
        <v>207</v>
      </c>
      <c r="B38" s="18" t="str">
        <f>Data!C39</f>
        <v>Loader, Machines, Telehandler/Trade Staff, Trade Staff</v>
      </c>
      <c r="C38" s="18" t="str">
        <f>Data!B39</f>
        <v>b16D</v>
      </c>
      <c r="D38" s="18" t="str">
        <f>Data!F39</f>
        <v>Felix</v>
      </c>
      <c r="E38" s="18" t="str">
        <f>Data!G39</f>
        <v>Bongalos</v>
      </c>
      <c r="F38" s="18" t="str">
        <f>Data!H39</f>
        <v>felix.bongalos</v>
      </c>
      <c r="G38" s="18" t="str">
        <f>Data!I39</f>
        <v>Standard Hours</v>
      </c>
      <c r="H38" s="18" t="str">
        <f>Data!K39</f>
        <v>Stopped</v>
      </c>
      <c r="I38" s="18" t="b">
        <f>Data!L39</f>
        <v>0</v>
      </c>
      <c r="J38" s="19" t="str">
        <f>Data!N39</f>
        <v>Channel Infrastructure: 12 Ralph Trimmer Drive, Marsden Point 0171, New Zealand</v>
      </c>
      <c r="K38" s="19" t="str">
        <f>Data!O39</f>
        <v>Project</v>
      </c>
      <c r="L38" s="20">
        <f>Data!Q39</f>
        <v>1619.086181640625</v>
      </c>
      <c r="M38" s="21">
        <f>Data!R39</f>
        <v>118.576609375</v>
      </c>
      <c r="N38" s="22">
        <f>Data!S39</f>
        <v>45782.843699131947</v>
      </c>
      <c r="O38" s="22">
        <f>Data!T39</f>
        <v>54789.541666666664</v>
      </c>
      <c r="P38" s="23" t="b">
        <f>OR(Data!$B$2&lt;Data!S39,Data!$B$2&gt;Data!T39)</f>
        <v>0</v>
      </c>
      <c r="Q38" s="23" t="str">
        <f>Data!J39</f>
        <v>GO Mode,Garmin,HOS,Iridium,UI</v>
      </c>
      <c r="R38" s="18" t="str">
        <f>Data!U39</f>
        <v>Version 9</v>
      </c>
      <c r="S38" s="18" t="str">
        <f>CONCATENATE(Data!V39,".",Data!W39,".",Data!X39)</f>
        <v>120.42.57</v>
      </c>
      <c r="T38" s="18" t="str">
        <f>Data!Y39</f>
        <v>G9VD67CSFR72</v>
      </c>
      <c r="U38" s="18" t="str">
        <f>Data!Z39</f>
        <v>QEG429</v>
      </c>
      <c r="V38" s="18">
        <f>Data!AA39</f>
        <v>0</v>
      </c>
      <c r="W38" s="18">
        <f>Data!AD39</f>
        <v>0</v>
      </c>
      <c r="X38" s="18" t="str">
        <f>Data!AF39</f>
        <v>Pacific/Auckland</v>
      </c>
      <c r="Y38" s="24" t="str">
        <f>IF(ISBLANK(Data!AG39),"",Data!AG39)</f>
        <v>5T Manitou MT625</v>
      </c>
      <c r="Z38" s="18" t="str">
        <f>Data!AL39</f>
        <v>OK</v>
      </c>
      <c r="AA38" s="22">
        <f>Data!AH39</f>
        <v>45975.628498055557</v>
      </c>
      <c r="AB38" s="22">
        <f>IF(ISBLANK(Data!AI39),"",Data!AI39)</f>
        <v>45975.85882212963</v>
      </c>
    </row>
    <row r="39" spans="1:28">
      <c r="A39" s="18" t="str">
        <f>Data!A40</f>
        <v>208</v>
      </c>
      <c r="B39" s="18" t="str">
        <f>Data!C40</f>
        <v>Loader, Machines, Telehandler/Trade Staff, Trade Staff</v>
      </c>
      <c r="C39" s="18" t="str">
        <f>Data!B40</f>
        <v>b163</v>
      </c>
      <c r="D39" s="18">
        <f>Data!F40</f>
        <v>0</v>
      </c>
      <c r="E39" s="18">
        <f>Data!G40</f>
        <v>0</v>
      </c>
      <c r="F39" s="18">
        <f>Data!H40</f>
        <v>0</v>
      </c>
      <c r="G39" s="18" t="str">
        <f>Data!I40</f>
        <v>Standard Hours</v>
      </c>
      <c r="H39" s="18" t="str">
        <f>Data!K40</f>
        <v>Stopped</v>
      </c>
      <c r="I39" s="18" t="b">
        <f>Data!L40</f>
        <v>0</v>
      </c>
      <c r="J39" s="19" t="str">
        <f>Data!N40</f>
        <v>Morningside: 80 Morningside Road, Morningside, Whangārei 0110, New Zealand</v>
      </c>
      <c r="K39" s="19" t="str">
        <f>Data!O40</f>
        <v>Project</v>
      </c>
      <c r="L39" s="20">
        <f>Data!Q40</f>
        <v>102.41561126708984</v>
      </c>
      <c r="M39" s="21">
        <f>Data!R40</f>
        <v>70.130298726851848</v>
      </c>
      <c r="N39" s="22">
        <f>Data!S40</f>
        <v>45861.618698923608</v>
      </c>
      <c r="O39" s="22">
        <f>Data!T40</f>
        <v>54789.541666666664</v>
      </c>
      <c r="P39" s="23" t="b">
        <f>OR(Data!$B$2&lt;Data!S40,Data!$B$2&gt;Data!T40)</f>
        <v>0</v>
      </c>
      <c r="Q39" s="23" t="str">
        <f>Data!J40</f>
        <v>GO Mode,Garmin,HOS,Iridium,UI</v>
      </c>
      <c r="R39" s="18" t="str">
        <f>Data!U40</f>
        <v>Version 9</v>
      </c>
      <c r="S39" s="18" t="str">
        <f>CONCATENATE(Data!V40,".",Data!W40,".",Data!X40)</f>
        <v>120.37.27</v>
      </c>
      <c r="T39" s="18" t="str">
        <f>Data!Y40</f>
        <v>G9AE0M2U2XW4</v>
      </c>
      <c r="U39" s="18" t="str">
        <f>Data!Z40</f>
        <v>QEG430</v>
      </c>
      <c r="V39" s="18">
        <f>Data!AA40</f>
        <v>0</v>
      </c>
      <c r="W39" s="18">
        <f>Data!AD40</f>
        <v>0</v>
      </c>
      <c r="X39" s="18" t="str">
        <f>Data!AF40</f>
        <v>Pacific/Auckland</v>
      </c>
      <c r="Y39" s="24" t="str">
        <f>IF(ISBLANK(Data!AG40),"",Data!AG40)</f>
        <v>7T Manitou MLT-X732</v>
      </c>
      <c r="Z39" s="18" t="str">
        <f>Data!AL40</f>
        <v>OK</v>
      </c>
      <c r="AA39" s="22">
        <f>Data!AH40</f>
        <v>45974.790695173608</v>
      </c>
      <c r="AB39" s="22">
        <f>IF(ISBLANK(Data!AI40),"",Data!AI40)</f>
        <v>45975.856609525465</v>
      </c>
    </row>
    <row r="40" spans="1:28">
      <c r="A40" s="18" t="str">
        <f>Data!A41</f>
        <v>209</v>
      </c>
      <c r="B40" s="18" t="str">
        <f>Data!C41</f>
        <v>Loader, Machines, Telehandler/Trade Staff, Trade Staff</v>
      </c>
      <c r="C40" s="18" t="str">
        <f>Data!B41</f>
        <v>b177</v>
      </c>
      <c r="D40" s="18">
        <f>Data!F41</f>
        <v>0</v>
      </c>
      <c r="E40" s="18">
        <f>Data!G41</f>
        <v>0</v>
      </c>
      <c r="F40" s="18">
        <f>Data!H41</f>
        <v>0</v>
      </c>
      <c r="G40" s="18" t="str">
        <f>Data!I41</f>
        <v>Standard Hours</v>
      </c>
      <c r="H40" s="18" t="str">
        <f>Data!K41</f>
        <v>Stopped</v>
      </c>
      <c r="I40" s="18" t="b">
        <f>Data!L41</f>
        <v>0</v>
      </c>
      <c r="J40" s="19" t="str">
        <f>Data!N41</f>
        <v>Kaitaia Wastewater: 19 Puckey Avenue, Kaitaia 0410, New Zealand</v>
      </c>
      <c r="K40" s="19" t="str">
        <f>Data!O41</f>
        <v>Project</v>
      </c>
      <c r="L40" s="20">
        <f>Data!Q41</f>
        <v>525.92376708984375</v>
      </c>
      <c r="M40" s="21">
        <f>Data!R41</f>
        <v>58.848648032407411</v>
      </c>
      <c r="N40" s="22">
        <f>Data!S41</f>
        <v>45782.8460328125</v>
      </c>
      <c r="O40" s="22">
        <f>Data!T41</f>
        <v>54789.541666666664</v>
      </c>
      <c r="P40" s="23" t="b">
        <f>OR(Data!$B$2&lt;Data!S41,Data!$B$2&gt;Data!T41)</f>
        <v>0</v>
      </c>
      <c r="Q40" s="23" t="str">
        <f>Data!J41</f>
        <v>GO Mode,Garmin,HOS,Iridium,UI</v>
      </c>
      <c r="R40" s="18" t="str">
        <f>Data!U41</f>
        <v>Version 9</v>
      </c>
      <c r="S40" s="18" t="str">
        <f>CONCATENATE(Data!V41,".",Data!W41,".",Data!X41)</f>
        <v>120.42.57</v>
      </c>
      <c r="T40" s="18" t="str">
        <f>Data!Y41</f>
        <v>G9RS70FNPW7W</v>
      </c>
      <c r="U40" s="18" t="str">
        <f>Data!Z41</f>
        <v>QEG431</v>
      </c>
      <c r="V40" s="18">
        <f>Data!AA41</f>
        <v>0</v>
      </c>
      <c r="W40" s="18">
        <f>Data!AD41</f>
        <v>0</v>
      </c>
      <c r="X40" s="18" t="str">
        <f>Data!AF41</f>
        <v>Pacific/Auckland</v>
      </c>
      <c r="Y40" s="24" t="str">
        <f>IF(ISBLANK(Data!AG41),"",Data!AG41)</f>
        <v>7T Manitou MLT-X732</v>
      </c>
      <c r="Z40" s="18" t="str">
        <f>Data!AL41</f>
        <v>OK</v>
      </c>
      <c r="AA40" s="22">
        <f>Data!AH41</f>
        <v>45975.635952141201</v>
      </c>
      <c r="AB40" s="22">
        <f>IF(ISBLANK(Data!AI41),"",Data!AI41)</f>
        <v>45975.84772297454</v>
      </c>
    </row>
    <row r="41" spans="1:28">
      <c r="A41" s="18" t="str">
        <f>Data!A42</f>
        <v>210</v>
      </c>
      <c r="B41" s="18" t="str">
        <f>Data!C42</f>
        <v>Loader, Diesel, Loader/Trade Staff, Machines, Trade Staff</v>
      </c>
      <c r="C41" s="18" t="str">
        <f>Data!B42</f>
        <v>b171</v>
      </c>
      <c r="D41" s="18">
        <f>Data!F42</f>
        <v>0</v>
      </c>
      <c r="E41" s="18">
        <f>Data!G42</f>
        <v>0</v>
      </c>
      <c r="F41" s="18">
        <f>Data!H42</f>
        <v>0</v>
      </c>
      <c r="G41" s="18" t="str">
        <f>Data!I42</f>
        <v>Standard Hours</v>
      </c>
      <c r="H41" s="18" t="str">
        <f>Data!K42</f>
        <v>Stopped</v>
      </c>
      <c r="I41" s="18" t="b">
        <f>Data!L42</f>
        <v>0</v>
      </c>
      <c r="J41" s="19" t="str">
        <f>Data!N42</f>
        <v>Kaitaia Wastewater: 19 Puckey Avenue, Kaitaia 0410, New Zealand</v>
      </c>
      <c r="K41" s="19" t="str">
        <f>Data!O42</f>
        <v>Project</v>
      </c>
      <c r="L41" s="20">
        <f>Data!Q42</f>
        <v>513.3499755859375</v>
      </c>
      <c r="M41" s="21">
        <f>Data!R42</f>
        <v>52.487500023148151</v>
      </c>
      <c r="N41" s="22">
        <f>Data!S42</f>
        <v>45895.666045648148</v>
      </c>
      <c r="O41" s="22">
        <f>Data!T42</f>
        <v>54789.541666666664</v>
      </c>
      <c r="P41" s="23" t="b">
        <f>OR(Data!$B$2&lt;Data!S42,Data!$B$2&gt;Data!T42)</f>
        <v>0</v>
      </c>
      <c r="Q41" s="23" t="str">
        <f>Data!J42</f>
        <v>GO Mode,Garmin,HOS,Iridium,UI</v>
      </c>
      <c r="R41" s="18" t="str">
        <f>Data!U42</f>
        <v>Version 9</v>
      </c>
      <c r="S41" s="18" t="str">
        <f>CONCATENATE(Data!V42,".",Data!W42,".",Data!X42)</f>
        <v>120.42.57</v>
      </c>
      <c r="T41" s="18" t="str">
        <f>Data!Y42</f>
        <v>G9S1YZ20ERNN</v>
      </c>
      <c r="U41" s="18">
        <f>Data!Z42</f>
        <v>0</v>
      </c>
      <c r="V41" s="18">
        <f>Data!AA42</f>
        <v>0</v>
      </c>
      <c r="W41" s="18">
        <f>Data!AD42</f>
        <v>0</v>
      </c>
      <c r="X41" s="18" t="str">
        <f>Data!AF42</f>
        <v>Pacific/Auckland</v>
      </c>
      <c r="Y41" s="24" t="str">
        <f>IF(ISBLANK(Data!AG42),"",Data!AG42)</f>
        <v>Cat 299D3 Compact Track 2022</v>
      </c>
      <c r="Z41" s="18" t="str">
        <f>Data!AL42</f>
        <v>OK</v>
      </c>
      <c r="AA41" s="22">
        <f>Data!AH42</f>
        <v>45973.478295833331</v>
      </c>
      <c r="AB41" s="22">
        <f>IF(ISBLANK(Data!AI42),"",Data!AI42)</f>
        <v>45975.636999537041</v>
      </c>
    </row>
    <row r="42" spans="1:28">
      <c r="A42" s="18" t="str">
        <f>Data!A43</f>
        <v>3414</v>
      </c>
      <c r="B42" s="18" t="str">
        <f>Data!C43</f>
        <v>Heavy Diesel Vehicles, HDV/Trade Staff, Machines, Trade Staff</v>
      </c>
      <c r="C42" s="18" t="str">
        <f>Data!B43</f>
        <v>b18F</v>
      </c>
      <c r="D42" s="18">
        <f>Data!F43</f>
        <v>0</v>
      </c>
      <c r="E42" s="18">
        <f>Data!G43</f>
        <v>0</v>
      </c>
      <c r="F42" s="18">
        <f>Data!H43</f>
        <v>0</v>
      </c>
      <c r="G42" s="18" t="str">
        <f>Data!I43</f>
        <v>Standard Hours</v>
      </c>
      <c r="H42" s="18" t="str">
        <f>Data!K43</f>
        <v>Stopped</v>
      </c>
      <c r="I42" s="18" t="b">
        <f>Data!L43</f>
        <v>0</v>
      </c>
      <c r="J42" s="19" t="str">
        <f>Data!N43</f>
        <v>Ruakaka Solar Farm Site 2: 41 Mccathie Road, Ruakākā 0171, New Zealand</v>
      </c>
      <c r="K42" s="19" t="str">
        <f>Data!O43</f>
        <v>Project</v>
      </c>
      <c r="L42" s="20">
        <f>Data!Q43</f>
        <v>171325.34375</v>
      </c>
      <c r="M42" s="21">
        <f>Data!R43</f>
        <v>147.15552047453704</v>
      </c>
      <c r="N42" s="22">
        <f>Data!S43</f>
        <v>45782.958375636576</v>
      </c>
      <c r="O42" s="22">
        <f>Data!T43</f>
        <v>54789.541666666664</v>
      </c>
      <c r="P42" s="23" t="b">
        <f>OR(Data!$B$2&lt;Data!S43,Data!$B$2&gt;Data!T43)</f>
        <v>0</v>
      </c>
      <c r="Q42" s="23" t="str">
        <f>Data!J43</f>
        <v>GO Mode,Garmin,HOS,Iridium,UI</v>
      </c>
      <c r="R42" s="18" t="str">
        <f>Data!U43</f>
        <v>Version 9</v>
      </c>
      <c r="S42" s="18" t="str">
        <f>CONCATENATE(Data!V43,".",Data!W43,".",Data!X43)</f>
        <v>120.42.57</v>
      </c>
      <c r="T42" s="18" t="str">
        <f>Data!Y43</f>
        <v>G9R2VNN6AEF6</v>
      </c>
      <c r="U42" s="18">
        <f>Data!Z43</f>
        <v>0</v>
      </c>
      <c r="V42" s="18">
        <f>Data!AA43</f>
        <v>0</v>
      </c>
      <c r="W42" s="18">
        <f>Data!AD43</f>
        <v>0</v>
      </c>
      <c r="X42" s="18" t="str">
        <f>Data!AF43</f>
        <v>Pacific/Auckland</v>
      </c>
      <c r="Y42" s="24" t="str">
        <f>IF(ISBLANK(Data!AG43),"",Data!AG43)</f>
        <v>Mitsubishi Fuso Fighter FK200K6 2007</v>
      </c>
      <c r="Z42" s="18" t="str">
        <f>Data!AL43</f>
        <v>OK</v>
      </c>
      <c r="AA42" s="22">
        <f>Data!AH43</f>
        <v>45975.402019907408</v>
      </c>
      <c r="AB42" s="22">
        <f>IF(ISBLANK(Data!AI43),"",Data!AI43)</f>
        <v>45975.861718981483</v>
      </c>
    </row>
    <row r="43" spans="1:28">
      <c r="A43" s="18" t="str">
        <f>Data!A44</f>
        <v>3418</v>
      </c>
      <c r="B43" s="18" t="str">
        <f>Data!C44</f>
        <v>Roller, Machines, Roller/Trade Staff, Trade Staff</v>
      </c>
      <c r="C43" s="18" t="str">
        <f>Data!B44</f>
        <v>b190</v>
      </c>
      <c r="D43" s="18">
        <f>Data!F44</f>
        <v>0</v>
      </c>
      <c r="E43" s="18">
        <f>Data!G44</f>
        <v>0</v>
      </c>
      <c r="F43" s="18">
        <f>Data!H44</f>
        <v>0</v>
      </c>
      <c r="G43" s="18" t="str">
        <f>Data!I44</f>
        <v>Standard Hours</v>
      </c>
      <c r="H43" s="18" t="str">
        <f>Data!K44</f>
        <v>Stopped</v>
      </c>
      <c r="I43" s="18" t="b">
        <f>Data!L44</f>
        <v>0</v>
      </c>
      <c r="J43" s="19" t="str">
        <f>Data!N44</f>
        <v>United Civil Head Office: 19 Rewa Rewa Road, Raumanga, Whangārei 0110, New Zealand</v>
      </c>
      <c r="K43" s="19" t="str">
        <f>Data!O44</f>
        <v>Office Zone</v>
      </c>
      <c r="L43" s="20">
        <f>Data!Q44</f>
        <v>3.8896903395652771E-2</v>
      </c>
      <c r="M43" s="21">
        <f>Data!R44</f>
        <v>58.708746319444444</v>
      </c>
      <c r="N43" s="22">
        <f>Data!S44</f>
        <v>45782.850148136575</v>
      </c>
      <c r="O43" s="22">
        <f>Data!T44</f>
        <v>54789.541666666664</v>
      </c>
      <c r="P43" s="23" t="b">
        <f>OR(Data!$B$2&lt;Data!S44,Data!$B$2&gt;Data!T44)</f>
        <v>0</v>
      </c>
      <c r="Q43" s="23" t="str">
        <f>Data!J44</f>
        <v>GO Mode,Garmin,HOS,Iridium,UI</v>
      </c>
      <c r="R43" s="18" t="str">
        <f>Data!U44</f>
        <v>Version 9</v>
      </c>
      <c r="S43" s="18" t="str">
        <f>CONCATENATE(Data!V44,".",Data!W44,".",Data!X44)</f>
        <v>120.42.57</v>
      </c>
      <c r="T43" s="18" t="str">
        <f>Data!Y44</f>
        <v>G9SV4TP3K9RH</v>
      </c>
      <c r="U43" s="18">
        <f>Data!Z44</f>
        <v>0</v>
      </c>
      <c r="V43" s="18">
        <f>Data!AA44</f>
        <v>0</v>
      </c>
      <c r="W43" s="18">
        <f>Data!AD44</f>
        <v>0</v>
      </c>
      <c r="X43" s="18" t="str">
        <f>Data!AF44</f>
        <v>Pacific/Auckland</v>
      </c>
      <c r="Y43" s="24" t="str">
        <f>IF(ISBLANK(Data!AG44),"",Data!AG44)</f>
        <v>10T Sakai R2S 2000 Static 3 Pin</v>
      </c>
      <c r="Z43" s="18" t="str">
        <f>Data!AL44</f>
        <v>OK</v>
      </c>
      <c r="AA43" s="22">
        <f>Data!AH44</f>
        <v>45952.387449780093</v>
      </c>
      <c r="AB43" s="22">
        <f>IF(ISBLANK(Data!AI44),"",Data!AI44)</f>
        <v>45975.406558576389</v>
      </c>
    </row>
    <row r="44" spans="1:28">
      <c r="A44" s="18" t="str">
        <f>Data!A45</f>
        <v>3420</v>
      </c>
      <c r="B44" s="18" t="str">
        <f>Data!C45</f>
        <v>Roller, Machines, Roller/Trade Staff, Trade Staff</v>
      </c>
      <c r="C44" s="18" t="str">
        <f>Data!B45</f>
        <v>b18D</v>
      </c>
      <c r="D44" s="18">
        <f>Data!F45</f>
        <v>0</v>
      </c>
      <c r="E44" s="18">
        <f>Data!G45</f>
        <v>0</v>
      </c>
      <c r="F44" s="18">
        <f>Data!H45</f>
        <v>0</v>
      </c>
      <c r="G44" s="18" t="str">
        <f>Data!I45</f>
        <v>Standard Hours</v>
      </c>
      <c r="H44" s="18" t="str">
        <f>Data!K45</f>
        <v>Stopped</v>
      </c>
      <c r="I44" s="18" t="b">
        <f>Data!L45</f>
        <v>0</v>
      </c>
      <c r="J44" s="19" t="str">
        <f>Data!N45</f>
        <v>6970 Mangakahia Road, Kaikohe 0474, New Zealand</v>
      </c>
      <c r="K44" s="19">
        <f>Data!O45</f>
        <v>0</v>
      </c>
      <c r="L44" s="20">
        <f>Data!Q45</f>
        <v>50.015720367431641</v>
      </c>
      <c r="M44" s="21">
        <f>Data!R45</f>
        <v>70.062509432870371</v>
      </c>
      <c r="N44" s="22">
        <f>Data!S45</f>
        <v>45782.850785659721</v>
      </c>
      <c r="O44" s="22">
        <f>Data!T45</f>
        <v>54789.541666666664</v>
      </c>
      <c r="P44" s="23" t="b">
        <f>OR(Data!$B$2&lt;Data!S45,Data!$B$2&gt;Data!T45)</f>
        <v>0</v>
      </c>
      <c r="Q44" s="23" t="str">
        <f>Data!J45</f>
        <v>GO Mode,Garmin,HOS,Iridium,UI</v>
      </c>
      <c r="R44" s="18" t="str">
        <f>Data!U45</f>
        <v>Version 9</v>
      </c>
      <c r="S44" s="18" t="str">
        <f>CONCATENATE(Data!V45,".",Data!W45,".",Data!X45)</f>
        <v>120.37.27</v>
      </c>
      <c r="T44" s="18" t="str">
        <f>Data!Y45</f>
        <v>G9WW8A64TCM9</v>
      </c>
      <c r="U44" s="18" t="str">
        <f>Data!Z45</f>
        <v>EKW475</v>
      </c>
      <c r="V44" s="18">
        <f>Data!AA45</f>
        <v>0</v>
      </c>
      <c r="W44" s="18">
        <f>Data!AD45</f>
        <v>0</v>
      </c>
      <c r="X44" s="18" t="str">
        <f>Data!AF45</f>
        <v>Pacific/Auckland</v>
      </c>
      <c r="Y44" s="24" t="str">
        <f>IF(ISBLANK(Data!AG45),"",Data!AG45)</f>
        <v>10T Sakai R2S 1990 Static 3 Pin</v>
      </c>
      <c r="Z44" s="18" t="str">
        <f>Data!AL45</f>
        <v>OK</v>
      </c>
      <c r="AA44" s="22">
        <f>Data!AH45</f>
        <v>45975.658808599539</v>
      </c>
      <c r="AB44" s="22">
        <f>IF(ISBLANK(Data!AI45),"",Data!AI45)</f>
        <v>45975.849711377312</v>
      </c>
    </row>
    <row r="45" spans="1:28">
      <c r="A45" s="18" t="str">
        <f>Data!A46</f>
        <v>3421</v>
      </c>
      <c r="B45" s="18" t="str">
        <f>Data!C46</f>
        <v>Grader, Grader/Trade Staff, Machines, Trade Staff</v>
      </c>
      <c r="C45" s="18" t="str">
        <f>Data!B46</f>
        <v>b194</v>
      </c>
      <c r="D45" s="18">
        <f>Data!F46</f>
        <v>0</v>
      </c>
      <c r="E45" s="18">
        <f>Data!G46</f>
        <v>0</v>
      </c>
      <c r="F45" s="18">
        <f>Data!H46</f>
        <v>0</v>
      </c>
      <c r="G45" s="18" t="str">
        <f>Data!I46</f>
        <v>Standard Hours</v>
      </c>
      <c r="H45" s="18" t="str">
        <f>Data!K46</f>
        <v>Stopped</v>
      </c>
      <c r="I45" s="18" t="b">
        <f>Data!L46</f>
        <v>0</v>
      </c>
      <c r="J45" s="19" t="str">
        <f>Data!N46</f>
        <v>Channel Infrastructure: 1 Ralph Trimmer Drive, Marsden Point 0171, New Zealand</v>
      </c>
      <c r="K45" s="19" t="str">
        <f>Data!O46</f>
        <v>Project</v>
      </c>
      <c r="L45" s="20">
        <f>Data!Q46</f>
        <v>60.835777282714844</v>
      </c>
      <c r="M45" s="21">
        <f>Data!R46</f>
        <v>355.31429753472224</v>
      </c>
      <c r="N45" s="22">
        <f>Data!S46</f>
        <v>45782.851375127313</v>
      </c>
      <c r="O45" s="22">
        <f>Data!T46</f>
        <v>54789.541666666664</v>
      </c>
      <c r="P45" s="23" t="b">
        <f>OR(Data!$B$2&lt;Data!S46,Data!$B$2&gt;Data!T46)</f>
        <v>0</v>
      </c>
      <c r="Q45" s="23" t="str">
        <f>Data!J46</f>
        <v>GO Mode,Garmin,HOS,Iridium,UI</v>
      </c>
      <c r="R45" s="18" t="str">
        <f>Data!U46</f>
        <v>Version 9</v>
      </c>
      <c r="S45" s="18" t="str">
        <f>CONCATENATE(Data!V46,".",Data!W46,".",Data!X46)</f>
        <v>120.37.27</v>
      </c>
      <c r="T45" s="18" t="str">
        <f>Data!Y46</f>
        <v>G90U7JYD5F1E</v>
      </c>
      <c r="U45" s="18" t="str">
        <f>Data!Z46</f>
        <v>EKW476</v>
      </c>
      <c r="V45" s="18">
        <f>Data!AA46</f>
        <v>0</v>
      </c>
      <c r="W45" s="18">
        <f>Data!AD46</f>
        <v>0</v>
      </c>
      <c r="X45" s="18" t="str">
        <f>Data!AF46</f>
        <v>Pacific/Auckland</v>
      </c>
      <c r="Y45" s="24" t="str">
        <f>IF(ISBLANK(Data!AG46),"",Data!AG46)</f>
        <v>Caterpillar 12H 2003</v>
      </c>
      <c r="Z45" s="18" t="str">
        <f>Data!AL46</f>
        <v>OK</v>
      </c>
      <c r="AA45" s="22">
        <f>Data!AH46</f>
        <v>45975.517489155092</v>
      </c>
      <c r="AB45" s="22">
        <f>IF(ISBLANK(Data!AI46),"",Data!AI46)</f>
        <v>45975.530625729167</v>
      </c>
    </row>
    <row r="46" spans="1:28">
      <c r="A46" s="18" t="str">
        <f>Data!A47</f>
        <v>3422</v>
      </c>
      <c r="B46" s="18" t="str">
        <f>Data!C47</f>
        <v>Grader, Grader/Trade Staff, Machines, Trade Staff</v>
      </c>
      <c r="C46" s="18" t="str">
        <f>Data!B47</f>
        <v>b191</v>
      </c>
      <c r="D46" s="18" t="str">
        <f>Data!F47</f>
        <v>Philip</v>
      </c>
      <c r="E46" s="18" t="str">
        <f>Data!G47</f>
        <v>Bryers</v>
      </c>
      <c r="F46" s="18" t="str">
        <f>Data!H47</f>
        <v>philip.bryers@unitedcivil.co.nz</v>
      </c>
      <c r="G46" s="18" t="str">
        <f>Data!I47</f>
        <v>Standard Hours</v>
      </c>
      <c r="H46" s="18" t="str">
        <f>Data!K47</f>
        <v>Stopped</v>
      </c>
      <c r="I46" s="18" t="b">
        <f>Data!L47</f>
        <v>0</v>
      </c>
      <c r="J46" s="19" t="str">
        <f>Data!N47</f>
        <v>Mangawhai: 1620 Mangawhai Road, Mangawhai 0975, New Zealand</v>
      </c>
      <c r="K46" s="19" t="str">
        <f>Data!O47</f>
        <v>Project</v>
      </c>
      <c r="L46" s="20">
        <f>Data!Q47</f>
        <v>194.314697265625</v>
      </c>
      <c r="M46" s="21">
        <f>Data!R47</f>
        <v>385.90515763888891</v>
      </c>
      <c r="N46" s="22">
        <f>Data!S47</f>
        <v>45782.85356260417</v>
      </c>
      <c r="O46" s="22">
        <f>Data!T47</f>
        <v>54789.541666666664</v>
      </c>
      <c r="P46" s="23" t="b">
        <f>OR(Data!$B$2&lt;Data!S47,Data!$B$2&gt;Data!T47)</f>
        <v>0</v>
      </c>
      <c r="Q46" s="23" t="str">
        <f>Data!J47</f>
        <v>GO Mode,Garmin,HOS,Iridium,UI</v>
      </c>
      <c r="R46" s="18" t="str">
        <f>Data!U47</f>
        <v>Version 9</v>
      </c>
      <c r="S46" s="18" t="str">
        <f>CONCATENATE(Data!V47,".",Data!W47,".",Data!X47)</f>
        <v>120.37.27</v>
      </c>
      <c r="T46" s="18" t="str">
        <f>Data!Y47</f>
        <v>G9PUXWWAS21S</v>
      </c>
      <c r="U46" s="18" t="str">
        <f>Data!Z47</f>
        <v>EJG668</v>
      </c>
      <c r="V46" s="18">
        <f>Data!AA47</f>
        <v>0</v>
      </c>
      <c r="W46" s="18">
        <f>Data!AD47</f>
        <v>0</v>
      </c>
      <c r="X46" s="18" t="str">
        <f>Data!AF47</f>
        <v>Pacific/Auckland</v>
      </c>
      <c r="Y46" s="24" t="str">
        <f>IF(ISBLANK(Data!AG47),"",Data!AG47)</f>
        <v>Komatsu GD655-3A 2008</v>
      </c>
      <c r="Z46" s="18" t="str">
        <f>Data!AL47</f>
        <v>OK</v>
      </c>
      <c r="AA46" s="22">
        <f>Data!AH47</f>
        <v>45975.451518379632</v>
      </c>
      <c r="AB46" s="22">
        <f>IF(ISBLANK(Data!AI47),"",Data!AI47)</f>
        <v>45975.563347083335</v>
      </c>
    </row>
    <row r="47" spans="1:28">
      <c r="A47" s="18" t="str">
        <f>Data!A48</f>
        <v>445</v>
      </c>
      <c r="B47" s="18" t="str">
        <f>Data!C48</f>
        <v>Light Diesel Vehicles, LDV/Trade Staff, Trade Staff</v>
      </c>
      <c r="C47" s="18" t="str">
        <f>Data!B48</f>
        <v>bFC</v>
      </c>
      <c r="D47" s="18">
        <f>Data!F48</f>
        <v>0</v>
      </c>
      <c r="E47" s="18">
        <f>Data!G48</f>
        <v>0</v>
      </c>
      <c r="F47" s="18">
        <f>Data!H48</f>
        <v>0</v>
      </c>
      <c r="G47" s="18" t="str">
        <f>Data!I48</f>
        <v>Standard Hours</v>
      </c>
      <c r="H47" s="18" t="str">
        <f>Data!K48</f>
        <v>Stopped</v>
      </c>
      <c r="I47" s="18" t="b">
        <f>Data!L48</f>
        <v>0</v>
      </c>
      <c r="J47" s="19" t="str">
        <f>Data!N48</f>
        <v>United Civil Head Office: 19B Rewa Rewa Road, Raumanga, Whangārei 0110, New Zealand</v>
      </c>
      <c r="K47" s="19" t="str">
        <f>Data!O48</f>
        <v>Office Zone</v>
      </c>
      <c r="L47" s="20">
        <f>Data!Q48</f>
        <v>351607.65625</v>
      </c>
      <c r="M47" s="21">
        <f>Data!R48</f>
        <v>162.25437121527779</v>
      </c>
      <c r="N47" s="22">
        <f>Data!S48</f>
        <v>45723.434772476852</v>
      </c>
      <c r="O47" s="22">
        <f>Data!T48</f>
        <v>54789.541666666664</v>
      </c>
      <c r="P47" s="23" t="b">
        <f>OR(Data!$B$2&lt;Data!S48,Data!$B$2&gt;Data!T48)</f>
        <v>0</v>
      </c>
      <c r="Q47" s="23" t="str">
        <f>Data!J48</f>
        <v>GO Mode,Garmin,HOS,Iridium,UI</v>
      </c>
      <c r="R47" s="18" t="str">
        <f>Data!U48</f>
        <v>Version 9</v>
      </c>
      <c r="S47" s="18" t="str">
        <f>CONCATENATE(Data!V48,".",Data!W48,".",Data!X48)</f>
        <v>120.42.57</v>
      </c>
      <c r="T47" s="18" t="str">
        <f>Data!Y48</f>
        <v>G90B211C4474</v>
      </c>
      <c r="U47" s="18" t="str">
        <f>Data!Z48</f>
        <v>FDT602</v>
      </c>
      <c r="V47" s="18">
        <f>Data!AA48</f>
        <v>0</v>
      </c>
      <c r="W47" s="18" t="str">
        <f>Data!AD48</f>
        <v>JTFST22P500005126</v>
      </c>
      <c r="X47" s="18" t="str">
        <f>Data!AF48</f>
        <v>Pacific/Auckland</v>
      </c>
      <c r="Y47" s="24" t="str">
        <f>IF(ISBLANK(Data!AG48),"",Data!AG48)</f>
        <v>Toyota Hiace 2009</v>
      </c>
      <c r="Z47" s="18" t="str">
        <f>Data!AL48</f>
        <v>OK</v>
      </c>
      <c r="AA47" s="22">
        <f>Data!AH48</f>
        <v>45975.677515752315</v>
      </c>
      <c r="AB47" s="22">
        <f>IF(ISBLANK(Data!AI48),"",Data!AI48)</f>
        <v>45975.845432418981</v>
      </c>
    </row>
    <row r="48" spans="1:28">
      <c r="A48" s="18" t="str">
        <f>Data!A49</f>
        <v>448</v>
      </c>
      <c r="B48" s="18" t="str">
        <f>Data!C49</f>
        <v>Light Diesel Vehicles, Diesel, LDV/Trade Staff, Trade Staff</v>
      </c>
      <c r="C48" s="18" t="str">
        <f>Data!B49</f>
        <v>bCE</v>
      </c>
      <c r="D48" s="18" t="str">
        <f>Data!F49</f>
        <v>Daniel</v>
      </c>
      <c r="E48" s="18" t="str">
        <f>Data!G49</f>
        <v>Van Houten</v>
      </c>
      <c r="F48" s="18" t="str">
        <f>Data!H49</f>
        <v>daniel.vanhouten</v>
      </c>
      <c r="G48" s="18" t="str">
        <f>Data!I49</f>
        <v>Standard Hours</v>
      </c>
      <c r="H48" s="18" t="str">
        <f>Data!K49</f>
        <v>Stopped</v>
      </c>
      <c r="I48" s="18" t="b">
        <f>Data!L49</f>
        <v>0</v>
      </c>
      <c r="J48" s="19" t="str">
        <f>Data!N49</f>
        <v>United Civil Head Office: 19B Rewa Rewa Road, Raumanga, Whangārei 0110, New Zealand</v>
      </c>
      <c r="K48" s="19" t="str">
        <f>Data!O49</f>
        <v>Office Zone</v>
      </c>
      <c r="L48" s="20">
        <f>Data!Q49</f>
        <v>271311.46875</v>
      </c>
      <c r="M48" s="21">
        <f>Data!R49</f>
        <v>18.060657615740741</v>
      </c>
      <c r="N48" s="22">
        <f>Data!S49</f>
        <v>45711.901464884257</v>
      </c>
      <c r="O48" s="22">
        <f>Data!T49</f>
        <v>54789.541666666664</v>
      </c>
      <c r="P48" s="23" t="b">
        <f>OR(Data!$B$2&lt;Data!S49,Data!$B$2&gt;Data!T49)</f>
        <v>0</v>
      </c>
      <c r="Q48" s="23" t="str">
        <f>Data!J49</f>
        <v>GO Mode,Garmin,HOS,Iridium,UI</v>
      </c>
      <c r="R48" s="18" t="str">
        <f>Data!U49</f>
        <v>Version 9</v>
      </c>
      <c r="S48" s="18" t="str">
        <f>CONCATENATE(Data!V49,".",Data!W49,".",Data!X49)</f>
        <v>120.42.57</v>
      </c>
      <c r="T48" s="18" t="str">
        <f>Data!Y49</f>
        <v>G9E7F2S8N1US</v>
      </c>
      <c r="U48" s="18" t="str">
        <f>Data!Z49</f>
        <v>GUR891</v>
      </c>
      <c r="V48" s="18">
        <f>Data!AA49</f>
        <v>0</v>
      </c>
      <c r="W48" s="18" t="str">
        <f>Data!AD49</f>
        <v>JTFST22P100016575</v>
      </c>
      <c r="X48" s="18" t="str">
        <f>Data!AF49</f>
        <v>Pacific/Auckland</v>
      </c>
      <c r="Y48" s="24" t="str">
        <f>IF(ISBLANK(Data!AG49),"",Data!AG49)</f>
        <v>Toyota Hiace 2013</v>
      </c>
      <c r="Z48" s="18" t="str">
        <f>Data!AL49</f>
        <v>OK</v>
      </c>
      <c r="AA48" s="22">
        <f>Data!AH49</f>
        <v>45975.746647222222</v>
      </c>
      <c r="AB48" s="22">
        <f>IF(ISBLANK(Data!AI49),"",Data!AI49)</f>
        <v>45975.85829074074</v>
      </c>
    </row>
    <row r="49" spans="1:28">
      <c r="A49" s="18" t="str">
        <f>Data!A50</f>
        <v>463</v>
      </c>
      <c r="B49" s="18" t="str">
        <f>Data!C50</f>
        <v>Light Diesel Vehicles, LDV/Trade Staff, Trade Staff</v>
      </c>
      <c r="C49" s="18" t="str">
        <f>Data!B50</f>
        <v>b12A</v>
      </c>
      <c r="D49" s="18" t="str">
        <f>Data!F50</f>
        <v>Robert</v>
      </c>
      <c r="E49" s="18" t="str">
        <f>Data!G50</f>
        <v>Burns</v>
      </c>
      <c r="F49" s="18" t="str">
        <f>Data!H50</f>
        <v>robert.burns</v>
      </c>
      <c r="G49" s="18" t="str">
        <f>Data!I50</f>
        <v>Standard Hours</v>
      </c>
      <c r="H49" s="18" t="str">
        <f>Data!K50</f>
        <v>Stopped</v>
      </c>
      <c r="I49" s="18" t="b">
        <f>Data!L50</f>
        <v>0</v>
      </c>
      <c r="J49" s="19" t="str">
        <f>Data!N50</f>
        <v>United Civil Head Office: 19B Rewa Rewa Road, Raumanga, Whangārei 0110, New Zealand</v>
      </c>
      <c r="K49" s="19" t="str">
        <f>Data!O50</f>
        <v>Office Zone</v>
      </c>
      <c r="L49" s="20">
        <f>Data!Q50</f>
        <v>273285.25</v>
      </c>
      <c r="M49" s="21">
        <f>Data!R50</f>
        <v>12.362104560185186</v>
      </c>
      <c r="N49" s="22">
        <f>Data!S50</f>
        <v>45734.599448356479</v>
      </c>
      <c r="O49" s="22">
        <f>Data!T50</f>
        <v>54789.541666666664</v>
      </c>
      <c r="P49" s="23" t="b">
        <f>OR(Data!$B$2&lt;Data!S50,Data!$B$2&gt;Data!T50)</f>
        <v>0</v>
      </c>
      <c r="Q49" s="23" t="str">
        <f>Data!J50</f>
        <v>GO Mode,Garmin,HOS,Iridium,UI</v>
      </c>
      <c r="R49" s="18" t="str">
        <f>Data!U50</f>
        <v>Version 9</v>
      </c>
      <c r="S49" s="18" t="str">
        <f>CONCATENATE(Data!V50,".",Data!W50,".",Data!X50)</f>
        <v>120.45.22</v>
      </c>
      <c r="T49" s="18" t="str">
        <f>Data!Y50</f>
        <v>G9C0211BE21A</v>
      </c>
      <c r="U49" s="18" t="str">
        <f>Data!Z50</f>
        <v>FQC642</v>
      </c>
      <c r="V49" s="18">
        <f>Data!AA50</f>
        <v>0</v>
      </c>
      <c r="W49" s="18" t="str">
        <f>Data!AD50</f>
        <v>MNAUSFE90AW890258</v>
      </c>
      <c r="X49" s="18" t="str">
        <f>Data!AF50</f>
        <v>Pacific/Auckland</v>
      </c>
      <c r="Y49" s="24" t="str">
        <f>IF(ISBLANK(Data!AG50),"",Data!AG50)</f>
        <v>Ford Ranger 2010 4x2 XLT D/C W/S</v>
      </c>
      <c r="Z49" s="18" t="str">
        <f>Data!AL50</f>
        <v>OK</v>
      </c>
      <c r="AA49" s="22">
        <f>Data!AH50</f>
        <v>45975.715330254628</v>
      </c>
      <c r="AB49" s="22">
        <f>IF(ISBLANK(Data!AI50),"",Data!AI50)</f>
        <v>45975.853860347219</v>
      </c>
    </row>
    <row r="50" spans="1:28">
      <c r="A50" s="18" t="str">
        <f>Data!A51</f>
        <v>465</v>
      </c>
      <c r="B50" s="18" t="str">
        <f>Data!C51</f>
        <v>Light Diesel Vehicles, Diesel, LDV/Trade Staff, Trade Staff</v>
      </c>
      <c r="C50" s="18" t="str">
        <f>Data!B51</f>
        <v>b101</v>
      </c>
      <c r="D50" s="18" t="str">
        <f>Data!F51</f>
        <v>Leroy</v>
      </c>
      <c r="E50" s="18" t="str">
        <f>Data!G51</f>
        <v>Anderson</v>
      </c>
      <c r="F50" s="18" t="str">
        <f>Data!H51</f>
        <v>leroy.anderson</v>
      </c>
      <c r="G50" s="18" t="str">
        <f>Data!I51</f>
        <v>Standard Hours</v>
      </c>
      <c r="H50" s="18" t="str">
        <f>Data!K51</f>
        <v>Stopped</v>
      </c>
      <c r="I50" s="18" t="b">
        <f>Data!L51</f>
        <v>0</v>
      </c>
      <c r="J50" s="19" t="str">
        <f>Data!N51</f>
        <v>United Civil Head Office: 19B Rewa Rewa Road, Raumanga, Whangārei 0110, New Zealand</v>
      </c>
      <c r="K50" s="19" t="str">
        <f>Data!O51</f>
        <v>Office Zone</v>
      </c>
      <c r="L50" s="20">
        <f>Data!Q51</f>
        <v>291364</v>
      </c>
      <c r="M50" s="21">
        <f>Data!R51</f>
        <v>17.572655717592593</v>
      </c>
      <c r="N50" s="22">
        <f>Data!S51</f>
        <v>45724.660327731479</v>
      </c>
      <c r="O50" s="22">
        <f>Data!T51</f>
        <v>54789.541666666664</v>
      </c>
      <c r="P50" s="23" t="b">
        <f>OR(Data!$B$2&lt;Data!S51,Data!$B$2&gt;Data!T51)</f>
        <v>0</v>
      </c>
      <c r="Q50" s="23" t="str">
        <f>Data!J51</f>
        <v>GO Mode,Garmin,HOS,Iridium,UI</v>
      </c>
      <c r="R50" s="18" t="str">
        <f>Data!U51</f>
        <v>Version 9</v>
      </c>
      <c r="S50" s="18" t="str">
        <f>CONCATENATE(Data!V51,".",Data!W51,".",Data!X51)</f>
        <v>120.45.22</v>
      </c>
      <c r="T50" s="18" t="str">
        <f>Data!Y51</f>
        <v>G9B3211A6EE4</v>
      </c>
      <c r="U50" s="18" t="str">
        <f>Data!Z51</f>
        <v>JBB745</v>
      </c>
      <c r="V50" s="18">
        <f>Data!AA51</f>
        <v>0</v>
      </c>
      <c r="W50" s="18" t="str">
        <f>Data!AD51</f>
        <v>MNAUMFF50FW426955</v>
      </c>
      <c r="X50" s="18" t="str">
        <f>Data!AF51</f>
        <v>Pacific/Auckland</v>
      </c>
      <c r="Y50" s="24" t="str">
        <f>IF(ISBLANK(Data!AG51),"",Data!AG51)</f>
        <v>Ford Ranger (2015)</v>
      </c>
      <c r="Z50" s="18" t="str">
        <f>Data!AL51</f>
        <v>OK</v>
      </c>
      <c r="AA50" s="22">
        <f>Data!AH51</f>
        <v>45975.731224351854</v>
      </c>
      <c r="AB50" s="22">
        <f>IF(ISBLANK(Data!AI51),"",Data!AI51)</f>
        <v>45975.857728981478</v>
      </c>
    </row>
    <row r="51" spans="1:28">
      <c r="A51" s="18" t="str">
        <f>Data!A52</f>
        <v>470</v>
      </c>
      <c r="B51" s="18" t="str">
        <f>Data!C52</f>
        <v>Light Diesel Vehicles, LDV/Trade Staff, Trade Staff</v>
      </c>
      <c r="C51" s="18" t="str">
        <f>Data!B52</f>
        <v>b17C</v>
      </c>
      <c r="D51" s="18">
        <f>Data!F52</f>
        <v>0</v>
      </c>
      <c r="E51" s="18">
        <f>Data!G52</f>
        <v>0</v>
      </c>
      <c r="F51" s="18">
        <f>Data!H52</f>
        <v>0</v>
      </c>
      <c r="G51" s="18" t="str">
        <f>Data!I52</f>
        <v>Standard Hours</v>
      </c>
      <c r="H51" s="18" t="str">
        <f>Data!K52</f>
        <v>Stopped</v>
      </c>
      <c r="I51" s="18" t="b">
        <f>Data!L52</f>
        <v>0</v>
      </c>
      <c r="J51" s="19" t="str">
        <f>Data!N52</f>
        <v>118 Western Hills Drive, Kensington, Whangārei 0112, New Zealand</v>
      </c>
      <c r="K51" s="19">
        <f>Data!O52</f>
        <v>0</v>
      </c>
      <c r="L51" s="20">
        <f>Data!Q52</f>
        <v>320214.78125</v>
      </c>
      <c r="M51" s="21">
        <f>Data!R52</f>
        <v>8.4918268287037044</v>
      </c>
      <c r="N51" s="22">
        <f>Data!S52</f>
        <v>45782.944705671296</v>
      </c>
      <c r="O51" s="22">
        <f>Data!T52</f>
        <v>54789.541666666664</v>
      </c>
      <c r="P51" s="23" t="b">
        <f>OR(Data!$B$2&lt;Data!S52,Data!$B$2&gt;Data!T52)</f>
        <v>0</v>
      </c>
      <c r="Q51" s="23" t="str">
        <f>Data!J52</f>
        <v>GO Mode,Garmin,HOS,Iridium,UI</v>
      </c>
      <c r="R51" s="18" t="str">
        <f>Data!U52</f>
        <v>Version 9</v>
      </c>
      <c r="S51" s="18" t="str">
        <f>CONCATENATE(Data!V52,".",Data!W52,".",Data!X52)</f>
        <v>120.45.20</v>
      </c>
      <c r="T51" s="18" t="str">
        <f>Data!Y52</f>
        <v>G9YNXYF3TYU3</v>
      </c>
      <c r="U51" s="18" t="str">
        <f>Data!Z52</f>
        <v>FUB380</v>
      </c>
      <c r="V51" s="18">
        <f>Data!AA52</f>
        <v>0</v>
      </c>
      <c r="W51" s="18" t="str">
        <f>Data!AD52</f>
        <v>MNAUSFE90AW918854</v>
      </c>
      <c r="X51" s="18" t="str">
        <f>Data!AF52</f>
        <v>Pacific/Auckland</v>
      </c>
      <c r="Y51" s="24" t="str">
        <f>IF(ISBLANK(Data!AG52),"",Data!AG52)</f>
        <v>Ford Ranger 2011 4x2 XLT D/C W/S</v>
      </c>
      <c r="Z51" s="18" t="str">
        <f>Data!AL52</f>
        <v>OK</v>
      </c>
      <c r="AA51" s="22">
        <f>Data!AH52</f>
        <v>45975.738408113422</v>
      </c>
      <c r="AB51" s="22">
        <f>IF(ISBLANK(Data!AI52),"",Data!AI52)</f>
        <v>45975.843824780095</v>
      </c>
    </row>
    <row r="52" spans="1:28">
      <c r="A52" s="18" t="str">
        <f>Data!A53</f>
        <v>471</v>
      </c>
      <c r="B52" s="18" t="str">
        <f>Data!C53</f>
        <v>Light Diesel Vehicles, LDV/PE, PE</v>
      </c>
      <c r="C52" s="18" t="str">
        <f>Data!B53</f>
        <v>b113</v>
      </c>
      <c r="D52" s="18" t="str">
        <f>Data!F53</f>
        <v>John</v>
      </c>
      <c r="E52" s="18" t="str">
        <f>Data!G53</f>
        <v>Munnelly</v>
      </c>
      <c r="F52" s="18" t="str">
        <f>Data!H53</f>
        <v>john.munnelly@unitedcivil.co.nz</v>
      </c>
      <c r="G52" s="18" t="str">
        <f>Data!I53</f>
        <v>Standard Hours</v>
      </c>
      <c r="H52" s="18" t="str">
        <f>Data!K53</f>
        <v>Stopped</v>
      </c>
      <c r="I52" s="18" t="b">
        <f>Data!L53</f>
        <v>0</v>
      </c>
      <c r="J52" s="19" t="str">
        <f>Data!N53</f>
        <v>104 Ocean Road, Whangamatā 3620, New Zealand</v>
      </c>
      <c r="K52" s="19">
        <f>Data!O53</f>
        <v>0</v>
      </c>
      <c r="L52" s="20">
        <f>Data!Q53</f>
        <v>324297.03125</v>
      </c>
      <c r="M52" s="21">
        <f>Data!R53</f>
        <v>20.315802962962962</v>
      </c>
      <c r="N52" s="22">
        <f>Data!S53</f>
        <v>45724.487993726849</v>
      </c>
      <c r="O52" s="22">
        <f>Data!T53</f>
        <v>54789.541666666664</v>
      </c>
      <c r="P52" s="23" t="b">
        <f>OR(Data!$B$2&lt;Data!S53,Data!$B$2&gt;Data!T53)</f>
        <v>0</v>
      </c>
      <c r="Q52" s="23" t="str">
        <f>Data!J53</f>
        <v>GO Mode,Garmin,HOS,Iridium,UI</v>
      </c>
      <c r="R52" s="18" t="str">
        <f>Data!U53</f>
        <v>Version 9</v>
      </c>
      <c r="S52" s="18" t="str">
        <f>CONCATENATE(Data!V53,".",Data!W53,".",Data!X53)</f>
        <v>120.42.59</v>
      </c>
      <c r="T52" s="18" t="str">
        <f>Data!Y53</f>
        <v>G92E211C5146</v>
      </c>
      <c r="U52" s="18" t="str">
        <f>Data!Z53</f>
        <v>FRM776</v>
      </c>
      <c r="V52" s="18">
        <f>Data!AA53</f>
        <v>0</v>
      </c>
      <c r="W52" s="18" t="str">
        <f>Data!AD53</f>
        <v>MNAUSFE90AW889714</v>
      </c>
      <c r="X52" s="18" t="str">
        <f>Data!AF53</f>
        <v>Pacific/Auckland</v>
      </c>
      <c r="Y52" s="24" t="str">
        <f>IF(ISBLANK(Data!AG53),"",Data!AG53)</f>
        <v>Ford Ranger (2010)</v>
      </c>
      <c r="Z52" s="18" t="str">
        <f>Data!AL53</f>
        <v>OK</v>
      </c>
      <c r="AA52" s="22">
        <f>Data!AH53</f>
        <v>45975.838509606481</v>
      </c>
      <c r="AB52" s="22">
        <f>IF(ISBLANK(Data!AI53),"",Data!AI53)</f>
        <v>45975.860673958334</v>
      </c>
    </row>
    <row r="53" spans="1:28">
      <c r="A53" s="18" t="str">
        <f>Data!A54</f>
        <v>476</v>
      </c>
      <c r="B53" s="18" t="str">
        <f>Data!C54</f>
        <v>Light Diesel Vehicles, LDV/Trade Staff, Trade Staff</v>
      </c>
      <c r="C53" s="18" t="str">
        <f>Data!B54</f>
        <v>b10D</v>
      </c>
      <c r="D53" s="18">
        <f>Data!F54</f>
        <v>0</v>
      </c>
      <c r="E53" s="18">
        <f>Data!G54</f>
        <v>0</v>
      </c>
      <c r="F53" s="18">
        <f>Data!H54</f>
        <v>0</v>
      </c>
      <c r="G53" s="18" t="str">
        <f>Data!I54</f>
        <v>Standard Hours</v>
      </c>
      <c r="H53" s="18" t="str">
        <f>Data!K54</f>
        <v>Stopped</v>
      </c>
      <c r="I53" s="18" t="b">
        <f>Data!L54</f>
        <v>0</v>
      </c>
      <c r="J53" s="19" t="str">
        <f>Data!N54</f>
        <v>United Civil Head Office: 19B Rewa Rewa Road, Raumanga, Whangārei 0110, New Zealand</v>
      </c>
      <c r="K53" s="19" t="str">
        <f>Data!O54</f>
        <v>Office Zone</v>
      </c>
      <c r="L53" s="20">
        <f>Data!Q54</f>
        <v>390382.40625</v>
      </c>
      <c r="M53" s="21">
        <f>Data!R54</f>
        <v>14.613048553240741</v>
      </c>
      <c r="N53" s="22">
        <f>Data!S54</f>
        <v>45724.482407731484</v>
      </c>
      <c r="O53" s="22">
        <f>Data!T54</f>
        <v>54789.541666666664</v>
      </c>
      <c r="P53" s="23" t="b">
        <f>OR(Data!$B$2&lt;Data!S54,Data!$B$2&gt;Data!T54)</f>
        <v>0</v>
      </c>
      <c r="Q53" s="23" t="str">
        <f>Data!J54</f>
        <v>GO Mode,Garmin,HOS,Iridium,UI</v>
      </c>
      <c r="R53" s="18" t="str">
        <f>Data!U54</f>
        <v>Version 9</v>
      </c>
      <c r="S53" s="18" t="str">
        <f>CONCATENATE(Data!V54,".",Data!W54,".",Data!X54)</f>
        <v>120.42.57</v>
      </c>
      <c r="T53" s="18" t="str">
        <f>Data!Y54</f>
        <v>G971211C5119</v>
      </c>
      <c r="U53" s="18" t="str">
        <f>Data!Z54</f>
        <v>GBN844</v>
      </c>
      <c r="V53" s="18">
        <f>Data!AA54</f>
        <v>0</v>
      </c>
      <c r="W53" s="18">
        <f>Data!AD54</f>
        <v>0</v>
      </c>
      <c r="X53" s="18" t="str">
        <f>Data!AF54</f>
        <v>Pacific/Auckland</v>
      </c>
      <c r="Y53" s="24" t="str">
        <f>IF(ISBLANK(Data!AG54),"",Data!AG54)</f>
        <v>Toyota Hilux 2011 4x2 D/C W/S</v>
      </c>
      <c r="Z53" s="18" t="str">
        <f>Data!AL54</f>
        <v>OK</v>
      </c>
      <c r="AA53" s="22">
        <f>Data!AH54</f>
        <v>45973.577818773148</v>
      </c>
      <c r="AB53" s="22">
        <f>IF(ISBLANK(Data!AI54),"",Data!AI54)</f>
        <v>45975.854219236113</v>
      </c>
    </row>
    <row r="54" spans="1:28">
      <c r="A54" s="18" t="str">
        <f>Data!A55</f>
        <v>486</v>
      </c>
      <c r="B54" s="18" t="str">
        <f>Data!C55</f>
        <v>Light Diesel Vehicles, Diesel, LDV/Trade Staff, Trade Staff</v>
      </c>
      <c r="C54" s="18" t="str">
        <f>Data!B55</f>
        <v>b17D</v>
      </c>
      <c r="D54" s="18" t="str">
        <f>Data!F55</f>
        <v>Anthony</v>
      </c>
      <c r="E54" s="18" t="str">
        <f>Data!G55</f>
        <v>Edwards</v>
      </c>
      <c r="F54" s="18" t="str">
        <f>Data!H55</f>
        <v>anthony.edwards</v>
      </c>
      <c r="G54" s="18" t="str">
        <f>Data!I55</f>
        <v>Standard Hours</v>
      </c>
      <c r="H54" s="18" t="str">
        <f>Data!K55</f>
        <v>Stopped</v>
      </c>
      <c r="I54" s="18" t="b">
        <f>Data!L55</f>
        <v>0</v>
      </c>
      <c r="J54" s="19" t="str">
        <f>Data!N55</f>
        <v>14A Black Wattle Lane, Raumanga, Whangārei 0110, New Zealand</v>
      </c>
      <c r="K54" s="19">
        <f>Data!O55</f>
        <v>0</v>
      </c>
      <c r="L54" s="20">
        <f>Data!Q55</f>
        <v>283860</v>
      </c>
      <c r="M54" s="21">
        <f>Data!R55</f>
        <v>184.65833333333333</v>
      </c>
      <c r="N54" s="22">
        <f>Data!S55</f>
        <v>45782.945388784719</v>
      </c>
      <c r="O54" s="22">
        <f>Data!T55</f>
        <v>54789.541666666664</v>
      </c>
      <c r="P54" s="23" t="b">
        <f>OR(Data!$B$2&lt;Data!S55,Data!$B$2&gt;Data!T55)</f>
        <v>0</v>
      </c>
      <c r="Q54" s="23" t="str">
        <f>Data!J55</f>
        <v>GO Mode,Garmin,HOS,Iridium,UI</v>
      </c>
      <c r="R54" s="18" t="str">
        <f>Data!U55</f>
        <v>Version 9</v>
      </c>
      <c r="S54" s="18" t="str">
        <f>CONCATENATE(Data!V55,".",Data!W55,".",Data!X55)</f>
        <v>120.45.22</v>
      </c>
      <c r="T54" s="18" t="str">
        <f>Data!Y55</f>
        <v>G937NNNRPH73</v>
      </c>
      <c r="U54" s="18" t="str">
        <f>Data!Z55</f>
        <v>LER932</v>
      </c>
      <c r="V54" s="18">
        <f>Data!AA55</f>
        <v>0</v>
      </c>
      <c r="W54" s="18" t="str">
        <f>Data!AD55</f>
        <v>MPBUMFF50HX139869</v>
      </c>
      <c r="X54" s="18" t="str">
        <f>Data!AF55</f>
        <v>Pacific/Auckland</v>
      </c>
      <c r="Y54" s="24" t="str">
        <f>IF(ISBLANK(Data!AG55),"",Data!AG55)</f>
        <v>Ford Ranger 2018 4x2 XLT D/C W/S</v>
      </c>
      <c r="Z54" s="18" t="str">
        <f>Data!AL55</f>
        <v>OK</v>
      </c>
      <c r="AA54" s="22">
        <f>Data!AH55</f>
        <v>45975.770213935182</v>
      </c>
      <c r="AB54" s="22">
        <f>IF(ISBLANK(Data!AI55),"",Data!AI55)</f>
        <v>45975.855121342589</v>
      </c>
    </row>
    <row r="55" spans="1:28">
      <c r="A55" s="18" t="str">
        <f>Data!A56</f>
        <v>487</v>
      </c>
      <c r="B55" s="18" t="str">
        <f>Data!C56</f>
        <v>Light Diesel Vehicles, Diesel, LDV/Trade Staff, Trade Staff</v>
      </c>
      <c r="C55" s="18" t="str">
        <f>Data!B56</f>
        <v>b108</v>
      </c>
      <c r="D55" s="18">
        <f>Data!F56</f>
        <v>0</v>
      </c>
      <c r="E55" s="18">
        <f>Data!G56</f>
        <v>0</v>
      </c>
      <c r="F55" s="18">
        <f>Data!H56</f>
        <v>0</v>
      </c>
      <c r="G55" s="18" t="str">
        <f>Data!I56</f>
        <v>Standard Hours</v>
      </c>
      <c r="H55" s="18" t="str">
        <f>Data!K56</f>
        <v>Stopped</v>
      </c>
      <c r="I55" s="18" t="b">
        <f>Data!L56</f>
        <v>0</v>
      </c>
      <c r="J55" s="19" t="str">
        <f>Data!N56</f>
        <v>55 Ngahuhu Road, Pakaraka 0472, New Zealand</v>
      </c>
      <c r="K55" s="19">
        <f>Data!O56</f>
        <v>0</v>
      </c>
      <c r="L55" s="20">
        <f>Data!Q56</f>
        <v>203129.359375</v>
      </c>
      <c r="M55" s="21">
        <f>Data!R56</f>
        <v>182.03056712962962</v>
      </c>
      <c r="N55" s="22">
        <f>Data!S56</f>
        <v>45724.473381967589</v>
      </c>
      <c r="O55" s="22">
        <f>Data!T56</f>
        <v>54789.541666666664</v>
      </c>
      <c r="P55" s="23" t="b">
        <f>OR(Data!$B$2&lt;Data!S56,Data!$B$2&gt;Data!T56)</f>
        <v>0</v>
      </c>
      <c r="Q55" s="23" t="str">
        <f>Data!J56</f>
        <v>GO Mode,Garmin,HOS,Iridium,UI</v>
      </c>
      <c r="R55" s="18" t="str">
        <f>Data!U56</f>
        <v>Version 9</v>
      </c>
      <c r="S55" s="18" t="str">
        <f>CONCATENATE(Data!V56,".",Data!W56,".",Data!X56)</f>
        <v>120.45.22</v>
      </c>
      <c r="T55" s="18" t="str">
        <f>Data!Y56</f>
        <v>G906211C4479</v>
      </c>
      <c r="U55" s="18" t="str">
        <f>Data!Z56</f>
        <v>LER933</v>
      </c>
      <c r="V55" s="18">
        <f>Data!AA56</f>
        <v>0</v>
      </c>
      <c r="W55" s="18" t="str">
        <f>Data!AD56</f>
        <v>MPBUMFF50HX142760</v>
      </c>
      <c r="X55" s="18" t="str">
        <f>Data!AF56</f>
        <v>Pacific/Auckland</v>
      </c>
      <c r="Y55" s="24" t="str">
        <f>IF(ISBLANK(Data!AG56),"",Data!AG56)</f>
        <v>Ford Ranger (2017)</v>
      </c>
      <c r="Z55" s="18" t="str">
        <f>Data!AL56</f>
        <v>OK</v>
      </c>
      <c r="AA55" s="22">
        <f>Data!AH56</f>
        <v>45975.694665821757</v>
      </c>
      <c r="AB55" s="22">
        <f>IF(ISBLANK(Data!AI56),"",Data!AI56)</f>
        <v>45975.843473692126</v>
      </c>
    </row>
    <row r="56" spans="1:28">
      <c r="A56" s="18" t="str">
        <f>Data!A57</f>
        <v>488</v>
      </c>
      <c r="B56" s="18" t="str">
        <f>Data!C57</f>
        <v>Light Diesel Vehicles, Diesel, LDV/Trade Staff, Trade Staff</v>
      </c>
      <c r="C56" s="18" t="str">
        <f>Data!B57</f>
        <v>bCC</v>
      </c>
      <c r="D56" s="18">
        <f>Data!F57</f>
        <v>0</v>
      </c>
      <c r="E56" s="18">
        <f>Data!G57</f>
        <v>0</v>
      </c>
      <c r="F56" s="18">
        <f>Data!H57</f>
        <v>0</v>
      </c>
      <c r="G56" s="18" t="str">
        <f>Data!I57</f>
        <v>Standard Hours</v>
      </c>
      <c r="H56" s="18" t="str">
        <f>Data!K57</f>
        <v>Stopped</v>
      </c>
      <c r="I56" s="18" t="b">
        <f>Data!L57</f>
        <v>0</v>
      </c>
      <c r="J56" s="19" t="str">
        <f>Data!N57</f>
        <v>249 Kiripaka Road, Northland 0112, New Zealand</v>
      </c>
      <c r="K56" s="19">
        <f>Data!O57</f>
        <v>0</v>
      </c>
      <c r="L56" s="20">
        <f>Data!Q57</f>
        <v>200641</v>
      </c>
      <c r="M56" s="21">
        <f>Data!R57</f>
        <v>172.21666667824073</v>
      </c>
      <c r="N56" s="22">
        <f>Data!S57</f>
        <v>45711.899934108798</v>
      </c>
      <c r="O56" s="22">
        <f>Data!T57</f>
        <v>54789.541666666664</v>
      </c>
      <c r="P56" s="23" t="b">
        <f>OR(Data!$B$2&lt;Data!S57,Data!$B$2&gt;Data!T57)</f>
        <v>0</v>
      </c>
      <c r="Q56" s="23" t="str">
        <f>Data!J57</f>
        <v>GO Mode,Garmin,HOS,Iridium,UI</v>
      </c>
      <c r="R56" s="18" t="str">
        <f>Data!U57</f>
        <v>Version 9</v>
      </c>
      <c r="S56" s="18" t="str">
        <f>CONCATENATE(Data!V57,".",Data!W57,".",Data!X57)</f>
        <v>120.42.59</v>
      </c>
      <c r="T56" s="18" t="str">
        <f>Data!Y57</f>
        <v>G9Z59VY94T2B</v>
      </c>
      <c r="U56" s="18" t="str">
        <f>Data!Z57</f>
        <v>LER937</v>
      </c>
      <c r="V56" s="18">
        <f>Data!AA57</f>
        <v>0</v>
      </c>
      <c r="W56" s="18" t="str">
        <f>Data!AD57</f>
        <v>MPBUMFF50HX139870</v>
      </c>
      <c r="X56" s="18" t="str">
        <f>Data!AF57</f>
        <v>Pacific/Auckland</v>
      </c>
      <c r="Y56" s="24" t="str">
        <f>IF(ISBLANK(Data!AG57),"",Data!AG57)</f>
        <v>Ford Ranger 2018 4x2 XLT D/C W/S</v>
      </c>
      <c r="Z56" s="18" t="str">
        <f>Data!AL57</f>
        <v>OK</v>
      </c>
      <c r="AA56" s="22">
        <f>Data!AH57</f>
        <v>45975.716890023148</v>
      </c>
      <c r="AB56" s="22">
        <f>IF(ISBLANK(Data!AI57),"",Data!AI57)</f>
        <v>45975.843383078703</v>
      </c>
    </row>
    <row r="57" spans="1:28">
      <c r="A57" s="18" t="str">
        <f>Data!A58</f>
        <v>489</v>
      </c>
      <c r="B57" s="18" t="str">
        <f>Data!C58</f>
        <v>Light Diesel Vehicles, Diesel, LDV/Trade Staff, Trade Staff</v>
      </c>
      <c r="C57" s="18" t="str">
        <f>Data!B58</f>
        <v>b17E</v>
      </c>
      <c r="D57" s="18" t="str">
        <f>Data!F58</f>
        <v>Mike</v>
      </c>
      <c r="E57" s="18" t="str">
        <f>Data!G58</f>
        <v>Walters</v>
      </c>
      <c r="F57" s="18" t="str">
        <f>Data!H58</f>
        <v>mike.walters</v>
      </c>
      <c r="G57" s="18" t="str">
        <f>Data!I58</f>
        <v>Standard Hours</v>
      </c>
      <c r="H57" s="18" t="str">
        <f>Data!K58</f>
        <v>Stopped</v>
      </c>
      <c r="I57" s="18" t="b">
        <f>Data!L58</f>
        <v>0</v>
      </c>
      <c r="J57" s="19" t="str">
        <f>Data!N58</f>
        <v>29C Rifle Range Road, Taupō 3330, New Zealand</v>
      </c>
      <c r="K57" s="19">
        <f>Data!O58</f>
        <v>0</v>
      </c>
      <c r="L57" s="20">
        <f>Data!Q58</f>
        <v>245581</v>
      </c>
      <c r="M57" s="21">
        <f>Data!R58</f>
        <v>182.00416671296296</v>
      </c>
      <c r="N57" s="22">
        <f>Data!S58</f>
        <v>45782.945882094908</v>
      </c>
      <c r="O57" s="22">
        <f>Data!T58</f>
        <v>54789.541666666664</v>
      </c>
      <c r="P57" s="23" t="b">
        <f>OR(Data!$B$2&lt;Data!S58,Data!$B$2&gt;Data!T58)</f>
        <v>0</v>
      </c>
      <c r="Q57" s="23" t="str">
        <f>Data!J58</f>
        <v>GO Mode,Garmin,HOS,Iridium,UI</v>
      </c>
      <c r="R57" s="18" t="str">
        <f>Data!U58</f>
        <v>Version 9</v>
      </c>
      <c r="S57" s="18" t="str">
        <f>CONCATENATE(Data!V58,".",Data!W58,".",Data!X58)</f>
        <v>120.45.22</v>
      </c>
      <c r="T57" s="18" t="str">
        <f>Data!Y58</f>
        <v>G9PAT79T3CRK</v>
      </c>
      <c r="U57" s="18" t="str">
        <f>Data!Z58</f>
        <v>LER940</v>
      </c>
      <c r="V57" s="18">
        <f>Data!AA58</f>
        <v>0</v>
      </c>
      <c r="W57" s="18" t="str">
        <f>Data!AD58</f>
        <v>MPBUMFF50HX135602</v>
      </c>
      <c r="X57" s="18" t="str">
        <f>Data!AF58</f>
        <v>Pacific/Auckland</v>
      </c>
      <c r="Y57" s="24" t="str">
        <f>IF(ISBLANK(Data!AG58),"",Data!AG58)</f>
        <v>Ford Ranger 2018 4x4 XLT D/C W/S</v>
      </c>
      <c r="Z57" s="18" t="str">
        <f>Data!AL58</f>
        <v>OK</v>
      </c>
      <c r="AA57" s="22">
        <f>Data!AH58</f>
        <v>45975.847130983799</v>
      </c>
      <c r="AB57" s="22">
        <f>IF(ISBLANK(Data!AI58),"",Data!AI58)</f>
        <v>45975.847837002315</v>
      </c>
    </row>
    <row r="58" spans="1:28">
      <c r="A58" s="18" t="str">
        <f>Data!A59</f>
        <v>490</v>
      </c>
      <c r="B58" s="18" t="str">
        <f>Data!C59</f>
        <v>Light Diesel Vehicles, Diesel, LDV/Other Management, Other Management</v>
      </c>
      <c r="C58" s="18" t="str">
        <f>Data!B59</f>
        <v>bC9</v>
      </c>
      <c r="D58" s="18" t="str">
        <f>Data!F59</f>
        <v>Harris</v>
      </c>
      <c r="E58" s="18" t="str">
        <f>Data!G59</f>
        <v>Crowe</v>
      </c>
      <c r="F58" s="18" t="str">
        <f>Data!H59</f>
        <v>harris.crowe@unitedcivil.co.nz</v>
      </c>
      <c r="G58" s="18" t="str">
        <f>Data!I59</f>
        <v>Standard Hours</v>
      </c>
      <c r="H58" s="18" t="str">
        <f>Data!K59</f>
        <v>Stopped</v>
      </c>
      <c r="I58" s="18" t="b">
        <f>Data!L59</f>
        <v>0</v>
      </c>
      <c r="J58" s="19" t="str">
        <f>Data!N59</f>
        <v>71 Whangaumu Street, Tutukaka 0140, New Zealand</v>
      </c>
      <c r="K58" s="19">
        <f>Data!O59</f>
        <v>0</v>
      </c>
      <c r="L58" s="20">
        <f>Data!Q59</f>
        <v>234892</v>
      </c>
      <c r="M58" s="21">
        <f>Data!R59</f>
        <v>183.25416666666666</v>
      </c>
      <c r="N58" s="22">
        <f>Data!S59</f>
        <v>45711.897494907411</v>
      </c>
      <c r="O58" s="22">
        <f>Data!T59</f>
        <v>54789.541666666664</v>
      </c>
      <c r="P58" s="23" t="b">
        <f>OR(Data!$B$2&lt;Data!S59,Data!$B$2&gt;Data!T59)</f>
        <v>0</v>
      </c>
      <c r="Q58" s="23" t="str">
        <f>Data!J59</f>
        <v>GO Mode,Garmin,HOS,Iridium,UI</v>
      </c>
      <c r="R58" s="18" t="str">
        <f>Data!U59</f>
        <v>Version 9</v>
      </c>
      <c r="S58" s="18" t="str">
        <f>CONCATENATE(Data!V59,".",Data!W59,".",Data!X59)</f>
        <v>120.45.22</v>
      </c>
      <c r="T58" s="18" t="str">
        <f>Data!Y59</f>
        <v>G9D6211A6C83</v>
      </c>
      <c r="U58" s="18" t="str">
        <f>Data!Z59</f>
        <v>LER936</v>
      </c>
      <c r="V58" s="18">
        <f>Data!AA59</f>
        <v>0</v>
      </c>
      <c r="W58" s="18" t="str">
        <f>Data!AD59</f>
        <v>MPBUMFF50JX151016</v>
      </c>
      <c r="X58" s="18" t="str">
        <f>Data!AF59</f>
        <v>Pacific/Auckland</v>
      </c>
      <c r="Y58" s="24" t="str">
        <f>IF(ISBLANK(Data!AG59),"",Data!AG59)</f>
        <v>Ford Ranger 2018 4x4 XLT D/C W/S</v>
      </c>
      <c r="Z58" s="18" t="str">
        <f>Data!AL59</f>
        <v>OK</v>
      </c>
      <c r="AA58" s="22">
        <f>Data!AH59</f>
        <v>45975.770087048608</v>
      </c>
      <c r="AB58" s="22">
        <f>IF(ISBLANK(Data!AI59),"",Data!AI59)</f>
        <v>45975.85485556713</v>
      </c>
    </row>
    <row r="59" spans="1:28">
      <c r="A59" s="18" t="str">
        <f>Data!A60</f>
        <v>491</v>
      </c>
      <c r="B59" s="18" t="str">
        <f>Data!C60</f>
        <v>Light Diesel Vehicles, LDV/Trade Staff, Trade Staff</v>
      </c>
      <c r="C59" s="18" t="str">
        <f>Data!B60</f>
        <v>b105</v>
      </c>
      <c r="D59" s="18" t="str">
        <f>Data!F60</f>
        <v>Jake</v>
      </c>
      <c r="E59" s="18" t="str">
        <f>Data!G60</f>
        <v>Moretti</v>
      </c>
      <c r="F59" s="18" t="str">
        <f>Data!H60</f>
        <v>jake.moretti</v>
      </c>
      <c r="G59" s="18" t="str">
        <f>Data!I60</f>
        <v>Standard Hours</v>
      </c>
      <c r="H59" s="18" t="str">
        <f>Data!K60</f>
        <v>Stopped</v>
      </c>
      <c r="I59" s="18" t="b">
        <f>Data!L60</f>
        <v>0</v>
      </c>
      <c r="J59" s="19" t="str">
        <f>Data!N60</f>
        <v>3 Isola Street, Raumanga, Whangārei 0110, New Zealand</v>
      </c>
      <c r="K59" s="19">
        <f>Data!O60</f>
        <v>0</v>
      </c>
      <c r="L59" s="20">
        <f>Data!Q60</f>
        <v>232234.21875</v>
      </c>
      <c r="M59" s="21">
        <f>Data!R60</f>
        <v>19.115577523148147</v>
      </c>
      <c r="N59" s="22">
        <f>Data!S60</f>
        <v>45724.468965162036</v>
      </c>
      <c r="O59" s="22">
        <f>Data!T60</f>
        <v>54789.541666666664</v>
      </c>
      <c r="P59" s="23" t="b">
        <f>OR(Data!$B$2&lt;Data!S60,Data!$B$2&gt;Data!T60)</f>
        <v>0</v>
      </c>
      <c r="Q59" s="23" t="str">
        <f>Data!J60</f>
        <v>GO Mode,Garmin,HOS,Iridium,UI</v>
      </c>
      <c r="R59" s="18" t="str">
        <f>Data!U60</f>
        <v>Version 9</v>
      </c>
      <c r="S59" s="18" t="str">
        <f>CONCATENATE(Data!V60,".",Data!W60,".",Data!X60)</f>
        <v>120.42.57</v>
      </c>
      <c r="T59" s="18" t="str">
        <f>Data!Y60</f>
        <v>G9AF211BE372</v>
      </c>
      <c r="U59" s="18" t="str">
        <f>Data!Z60</f>
        <v>LGJ618</v>
      </c>
      <c r="V59" s="18">
        <f>Data!AA60</f>
        <v>0</v>
      </c>
      <c r="W59" s="18">
        <f>Data!AD60</f>
        <v>0</v>
      </c>
      <c r="X59" s="18" t="str">
        <f>Data!AF60</f>
        <v>Pacific/Auckland</v>
      </c>
      <c r="Y59" s="24" t="str">
        <f>IF(ISBLANK(Data!AG60),"",Data!AG60)</f>
        <v>Ford Ranger 2018 4x4 XLT D/C W/S</v>
      </c>
      <c r="Z59" s="18" t="str">
        <f>Data!AL60</f>
        <v>OK</v>
      </c>
      <c r="AA59" s="22">
        <f>Data!AH60</f>
        <v>45975.758777291667</v>
      </c>
      <c r="AB59" s="22">
        <f>IF(ISBLANK(Data!AI60),"",Data!AI60)</f>
        <v>45975.845548124998</v>
      </c>
    </row>
    <row r="60" spans="1:28">
      <c r="A60" s="18" t="str">
        <f>Data!A61</f>
        <v>492</v>
      </c>
      <c r="B60" s="18" t="str">
        <f>Data!C61</f>
        <v>Light Diesel Vehicles, Diesel, LDV/Trade Staff, Trade Staff</v>
      </c>
      <c r="C60" s="18" t="str">
        <f>Data!B61</f>
        <v>b11E</v>
      </c>
      <c r="D60" s="18">
        <f>Data!F61</f>
        <v>0</v>
      </c>
      <c r="E60" s="18">
        <f>Data!G61</f>
        <v>0</v>
      </c>
      <c r="F60" s="18">
        <f>Data!H61</f>
        <v>0</v>
      </c>
      <c r="G60" s="18" t="str">
        <f>Data!I61</f>
        <v>Standard Hours</v>
      </c>
      <c r="H60" s="18" t="str">
        <f>Data!K61</f>
        <v>Stopped</v>
      </c>
      <c r="I60" s="18" t="b">
        <f>Data!L61</f>
        <v>0</v>
      </c>
      <c r="J60" s="19" t="str">
        <f>Data!N61</f>
        <v>318 Cemetery Road, Maunu, Whangārei 0179, New Zealand</v>
      </c>
      <c r="K60" s="19">
        <f>Data!O61</f>
        <v>0</v>
      </c>
      <c r="L60" s="20">
        <f>Data!Q61</f>
        <v>214811</v>
      </c>
      <c r="M60" s="21">
        <f>Data!R61</f>
        <v>177.38333333333333</v>
      </c>
      <c r="N60" s="22">
        <f>Data!S61</f>
        <v>45730.51660815972</v>
      </c>
      <c r="O60" s="22">
        <f>Data!T61</f>
        <v>54789.541666666664</v>
      </c>
      <c r="P60" s="23" t="b">
        <f>OR(Data!$B$2&lt;Data!S61,Data!$B$2&gt;Data!T61)</f>
        <v>0</v>
      </c>
      <c r="Q60" s="23" t="str">
        <f>Data!J61</f>
        <v>GO Mode,Garmin,HOS,Iridium,UI</v>
      </c>
      <c r="R60" s="18" t="str">
        <f>Data!U61</f>
        <v>Version 9</v>
      </c>
      <c r="S60" s="18" t="str">
        <f>CONCATENATE(Data!V61,".",Data!W61,".",Data!X61)</f>
        <v>120.45.20</v>
      </c>
      <c r="T60" s="18" t="str">
        <f>Data!Y61</f>
        <v>G914211C446B</v>
      </c>
      <c r="U60" s="18" t="str">
        <f>Data!Z61</f>
        <v>LKZ964</v>
      </c>
      <c r="V60" s="18">
        <f>Data!AA61</f>
        <v>0</v>
      </c>
      <c r="W60" s="18" t="str">
        <f>Data!AD61</f>
        <v>MPBUMFF50JX153102</v>
      </c>
      <c r="X60" s="18" t="str">
        <f>Data!AF61</f>
        <v>Pacific/Auckland</v>
      </c>
      <c r="Y60" s="24" t="str">
        <f>IF(ISBLANK(Data!AG61),"",Data!AG61)</f>
        <v>Ford Ranger (2018)</v>
      </c>
      <c r="Z60" s="18" t="str">
        <f>Data!AL61</f>
        <v>OK</v>
      </c>
      <c r="AA60" s="22">
        <f>Data!AH61</f>
        <v>45975.754612731478</v>
      </c>
      <c r="AB60" s="22">
        <f>IF(ISBLANK(Data!AI61),"",Data!AI61)</f>
        <v>45975.860295601851</v>
      </c>
    </row>
    <row r="61" spans="1:28">
      <c r="A61" s="18" t="str">
        <f>Data!A62</f>
        <v>493</v>
      </c>
      <c r="B61" s="18" t="str">
        <f>Data!C62</f>
        <v>Light Diesel Vehicles, Diesel, LDV/Trade Staff, Trade Staff</v>
      </c>
      <c r="C61" s="18" t="str">
        <f>Data!B62</f>
        <v>bD9</v>
      </c>
      <c r="D61" s="18">
        <f>Data!F62</f>
        <v>0</v>
      </c>
      <c r="E61" s="18">
        <f>Data!G62</f>
        <v>0</v>
      </c>
      <c r="F61" s="18">
        <f>Data!H62</f>
        <v>0</v>
      </c>
      <c r="G61" s="18" t="str">
        <f>Data!I62</f>
        <v>Standard Hours</v>
      </c>
      <c r="H61" s="18" t="str">
        <f>Data!K62</f>
        <v>Stopped</v>
      </c>
      <c r="I61" s="18" t="b">
        <f>Data!L62</f>
        <v>0</v>
      </c>
      <c r="J61" s="19" t="str">
        <f>Data!N62</f>
        <v>19 Dakota Place, Raumanga, Whangārei 0110, New Zealand</v>
      </c>
      <c r="K61" s="19">
        <f>Data!O62</f>
        <v>0</v>
      </c>
      <c r="L61" s="20">
        <f>Data!Q62</f>
        <v>241564</v>
      </c>
      <c r="M61" s="21">
        <f>Data!R62</f>
        <v>200.00833335648147</v>
      </c>
      <c r="N61" s="22">
        <f>Data!S62</f>
        <v>45711.908677395833</v>
      </c>
      <c r="O61" s="22">
        <f>Data!T62</f>
        <v>54789.541666666664</v>
      </c>
      <c r="P61" s="23" t="b">
        <f>OR(Data!$B$2&lt;Data!S62,Data!$B$2&gt;Data!T62)</f>
        <v>0</v>
      </c>
      <c r="Q61" s="23" t="str">
        <f>Data!J62</f>
        <v>GO Mode,Garmin,HOS,Iridium,UI</v>
      </c>
      <c r="R61" s="18" t="str">
        <f>Data!U62</f>
        <v>Version 9</v>
      </c>
      <c r="S61" s="18" t="str">
        <f>CONCATENATE(Data!V62,".",Data!W62,".",Data!X62)</f>
        <v>120.42.57</v>
      </c>
      <c r="T61" s="18" t="str">
        <f>Data!Y62</f>
        <v>G9UT9MD7X25N</v>
      </c>
      <c r="U61" s="18" t="str">
        <f>Data!Z62</f>
        <v>LJJ940</v>
      </c>
      <c r="V61" s="18">
        <f>Data!AA62</f>
        <v>0</v>
      </c>
      <c r="W61" s="18" t="str">
        <f>Data!AD62</f>
        <v>MPBUMFF50JX155996</v>
      </c>
      <c r="X61" s="18" t="str">
        <f>Data!AF62</f>
        <v>Pacific/Auckland</v>
      </c>
      <c r="Y61" s="24" t="str">
        <f>IF(ISBLANK(Data!AG62),"",Data!AG62)</f>
        <v>Ford Ranger 2018 4x2 XLT D/C W/S</v>
      </c>
      <c r="Z61" s="18" t="str">
        <f>Data!AL62</f>
        <v>OK</v>
      </c>
      <c r="AA61" s="22">
        <f>Data!AH62</f>
        <v>45975.722410034723</v>
      </c>
      <c r="AB61" s="22">
        <f>IF(ISBLANK(Data!AI62),"",Data!AI62)</f>
        <v>45975.848891516202</v>
      </c>
    </row>
    <row r="62" spans="1:28">
      <c r="A62" s="18" t="str">
        <f>Data!A63</f>
        <v>494</v>
      </c>
      <c r="B62" s="18" t="str">
        <f>Data!C63</f>
        <v>Light Diesel Vehicles, Diesel, LDV/Trade Staff, Trade Staff</v>
      </c>
      <c r="C62" s="18" t="str">
        <f>Data!B63</f>
        <v>b102</v>
      </c>
      <c r="D62" s="18" t="str">
        <f>Data!F63</f>
        <v>James</v>
      </c>
      <c r="E62" s="18" t="str">
        <f>Data!G63</f>
        <v>Gardiner</v>
      </c>
      <c r="F62" s="18" t="str">
        <f>Data!H63</f>
        <v>james.gardiner</v>
      </c>
      <c r="G62" s="18" t="str">
        <f>Data!I63</f>
        <v>Standard Hours</v>
      </c>
      <c r="H62" s="18" t="str">
        <f>Data!K63</f>
        <v>Stopped</v>
      </c>
      <c r="I62" s="18" t="b">
        <f>Data!L63</f>
        <v>0</v>
      </c>
      <c r="J62" s="19" t="str">
        <f>Data!N63</f>
        <v>United Civil Head Office: 19B Rewa Rewa Road, Raumanga, Whangārei 0110, New Zealand</v>
      </c>
      <c r="K62" s="19" t="str">
        <f>Data!O63</f>
        <v>Office Zone</v>
      </c>
      <c r="L62" s="20">
        <f>Data!Q63</f>
        <v>342511</v>
      </c>
      <c r="M62" s="21">
        <f>Data!R63</f>
        <v>19.380894247685184</v>
      </c>
      <c r="N62" s="22">
        <f>Data!S63</f>
        <v>45807.114974837961</v>
      </c>
      <c r="O62" s="22">
        <f>Data!T63</f>
        <v>54789.541666666664</v>
      </c>
      <c r="P62" s="23" t="b">
        <f>OR(Data!$B$2&lt;Data!S63,Data!$B$2&gt;Data!T63)</f>
        <v>0</v>
      </c>
      <c r="Q62" s="23" t="str">
        <f>Data!J63</f>
        <v>GO Mode,Garmin,HOS,Iridium,UI</v>
      </c>
      <c r="R62" s="18" t="str">
        <f>Data!U63</f>
        <v>Version 9</v>
      </c>
      <c r="S62" s="18" t="str">
        <f>CONCATENATE(Data!V63,".",Data!W63,".",Data!X63)</f>
        <v>120.45.21</v>
      </c>
      <c r="T62" s="18" t="str">
        <f>Data!Y63</f>
        <v>G9NW0SB5JJT4</v>
      </c>
      <c r="U62" s="18" t="str">
        <f>Data!Z63</f>
        <v>GSN851</v>
      </c>
      <c r="V62" s="18">
        <f>Data!AA63</f>
        <v>0</v>
      </c>
      <c r="W62" s="18" t="str">
        <f>Data!AD63</f>
        <v>MNAUMFF50DW166402</v>
      </c>
      <c r="X62" s="18" t="str">
        <f>Data!AF63</f>
        <v>Pacific/Auckland</v>
      </c>
      <c r="Y62" s="24" t="str">
        <f>IF(ISBLANK(Data!AG63),"",Data!AG63)</f>
        <v>Ford Ranger (2013)</v>
      </c>
      <c r="Z62" s="18" t="str">
        <f>Data!AL63</f>
        <v>Device is not downloading data</v>
      </c>
      <c r="AA62" s="22">
        <f>Data!AH63</f>
        <v>45959.649459120374</v>
      </c>
      <c r="AB62" s="22">
        <f>IF(ISBLANK(Data!AI63),"",Data!AI63)</f>
        <v>45960.340523935185</v>
      </c>
    </row>
    <row r="63" spans="1:28">
      <c r="A63" s="18" t="str">
        <f>Data!A64</f>
        <v>495</v>
      </c>
      <c r="B63" s="18" t="str">
        <f>Data!C64</f>
        <v>Light Diesel Vehicles, Diesel, LDV/Trade Staff, Trade Staff</v>
      </c>
      <c r="C63" s="18" t="str">
        <f>Data!B64</f>
        <v>bD1</v>
      </c>
      <c r="D63" s="18" t="str">
        <f>Data!F64</f>
        <v>Ronel</v>
      </c>
      <c r="E63" s="18" t="str">
        <f>Data!G64</f>
        <v>Lineses</v>
      </c>
      <c r="F63" s="18" t="str">
        <f>Data!H64</f>
        <v>ronel.lineses</v>
      </c>
      <c r="G63" s="18" t="str">
        <f>Data!I64</f>
        <v>Standard Hours</v>
      </c>
      <c r="H63" s="18" t="str">
        <f>Data!K64</f>
        <v>Stopped</v>
      </c>
      <c r="I63" s="18" t="b">
        <f>Data!L64</f>
        <v>0</v>
      </c>
      <c r="J63" s="19" t="str">
        <f>Data!N64</f>
        <v>241 Jobe Road, Maungakaramea 0178, New Zealand</v>
      </c>
      <c r="K63" s="19">
        <f>Data!O64</f>
        <v>0</v>
      </c>
      <c r="L63" s="20">
        <f>Data!Q64</f>
        <v>260095</v>
      </c>
      <c r="M63" s="21">
        <f>Data!R64</f>
        <v>20.891240601851852</v>
      </c>
      <c r="N63" s="22">
        <f>Data!S64</f>
        <v>45721.965066493052</v>
      </c>
      <c r="O63" s="22">
        <f>Data!T64</f>
        <v>54789.541666666664</v>
      </c>
      <c r="P63" s="23" t="b">
        <f>OR(Data!$B$2&lt;Data!S64,Data!$B$2&gt;Data!T64)</f>
        <v>0</v>
      </c>
      <c r="Q63" s="23" t="str">
        <f>Data!J64</f>
        <v>GO Mode,Garmin,HOS,Iridium,UI</v>
      </c>
      <c r="R63" s="18" t="str">
        <f>Data!U64</f>
        <v>Version 9</v>
      </c>
      <c r="S63" s="18" t="str">
        <f>CONCATENATE(Data!V64,".",Data!W64,".",Data!X64)</f>
        <v>120.42.57</v>
      </c>
      <c r="T63" s="18" t="str">
        <f>Data!Y64</f>
        <v>G9HM80J63H4D</v>
      </c>
      <c r="U63" s="18" t="str">
        <f>Data!Z64</f>
        <v>GTH864</v>
      </c>
      <c r="V63" s="18">
        <f>Data!AA64</f>
        <v>0</v>
      </c>
      <c r="W63" s="18" t="str">
        <f>Data!AD64</f>
        <v>MM0UP0YF100136059</v>
      </c>
      <c r="X63" s="18" t="str">
        <f>Data!AF64</f>
        <v>Pacific/Auckland</v>
      </c>
      <c r="Y63" s="24" t="str">
        <f>IF(ISBLANK(Data!AG64),"",Data!AG64)</f>
        <v>Mazda BT-50 2013 4x2 GSX D/C W/S</v>
      </c>
      <c r="Z63" s="18" t="str">
        <f>Data!AL64</f>
        <v>OK</v>
      </c>
      <c r="AA63" s="22">
        <f>Data!AH64</f>
        <v>45975.731067372682</v>
      </c>
      <c r="AB63" s="22">
        <f>IF(ISBLANK(Data!AI64),"",Data!AI64)</f>
        <v>45975.85765302083</v>
      </c>
    </row>
    <row r="64" spans="1:28">
      <c r="A64" s="18" t="str">
        <f>Data!A65</f>
        <v>496</v>
      </c>
      <c r="B64" s="18" t="str">
        <f>Data!C65</f>
        <v>Light Diesel Vehicles, Diesel, LDV/Trade Staff, Trade Staff</v>
      </c>
      <c r="C64" s="18" t="str">
        <f>Data!B65</f>
        <v>bD6</v>
      </c>
      <c r="D64" s="18" t="str">
        <f>Data!F65</f>
        <v>Jamie</v>
      </c>
      <c r="E64" s="18" t="str">
        <f>Data!G65</f>
        <v>Wyeth</v>
      </c>
      <c r="F64" s="18" t="str">
        <f>Data!H65</f>
        <v>jamie.wyeth</v>
      </c>
      <c r="G64" s="18" t="str">
        <f>Data!I65</f>
        <v>Standard Hours</v>
      </c>
      <c r="H64" s="18" t="str">
        <f>Data!K65</f>
        <v>Stopped</v>
      </c>
      <c r="I64" s="18" t="b">
        <f>Data!L65</f>
        <v>0</v>
      </c>
      <c r="J64" s="19" t="str">
        <f>Data!N65</f>
        <v>United Civil Head Office: 19B Rewa Rewa Road, Raumanga, Whangārei 0110, New Zealand</v>
      </c>
      <c r="K64" s="19" t="str">
        <f>Data!O65</f>
        <v>Office Zone</v>
      </c>
      <c r="L64" s="20">
        <f>Data!Q65</f>
        <v>307523.03125</v>
      </c>
      <c r="M64" s="21">
        <f>Data!R65</f>
        <v>11.145335555555556</v>
      </c>
      <c r="N64" s="22">
        <f>Data!S65</f>
        <v>45711.906941111112</v>
      </c>
      <c r="O64" s="22">
        <f>Data!T65</f>
        <v>54789.541666666664</v>
      </c>
      <c r="P64" s="23" t="b">
        <f>OR(Data!$B$2&lt;Data!S65,Data!$B$2&gt;Data!T65)</f>
        <v>0</v>
      </c>
      <c r="Q64" s="23" t="str">
        <f>Data!J65</f>
        <v>GO Mode,Garmin,HOS,Iridium,UI</v>
      </c>
      <c r="R64" s="18" t="str">
        <f>Data!U65</f>
        <v>Version 9</v>
      </c>
      <c r="S64" s="18" t="str">
        <f>CONCATENATE(Data!V65,".",Data!W65,".",Data!X65)</f>
        <v>120.45.22</v>
      </c>
      <c r="T64" s="18" t="str">
        <f>Data!Y65</f>
        <v>G9WVND1NZR5U</v>
      </c>
      <c r="U64" s="18" t="str">
        <f>Data!Z65</f>
        <v>JYY52</v>
      </c>
      <c r="V64" s="18">
        <f>Data!AA65</f>
        <v>0</v>
      </c>
      <c r="W64" s="18" t="str">
        <f>Data!AD65</f>
        <v>MNAUM2F50FW416363</v>
      </c>
      <c r="X64" s="18" t="str">
        <f>Data!AF65</f>
        <v>Pacific/Auckland</v>
      </c>
      <c r="Y64" s="24" t="str">
        <f>IF(ISBLANK(Data!AG65),"",Data!AG65)</f>
        <v>Ford Ranger 2015 4x4 Cabplus F/D</v>
      </c>
      <c r="Z64" s="18" t="str">
        <f>Data!AL65</f>
        <v>OK</v>
      </c>
      <c r="AA64" s="22">
        <f>Data!AH65</f>
        <v>45975.679024062498</v>
      </c>
      <c r="AB64" s="22">
        <f>IF(ISBLANK(Data!AI65),"",Data!AI65)</f>
        <v>45975.67916295139</v>
      </c>
    </row>
    <row r="65" spans="1:28">
      <c r="A65" s="18" t="str">
        <f>Data!A66</f>
        <v>499</v>
      </c>
      <c r="B65" s="18" t="str">
        <f>Data!C66</f>
        <v>Light Diesel Vehicles, Diesel, LDV/Trade Staff, Trade Staff</v>
      </c>
      <c r="C65" s="18" t="str">
        <f>Data!B66</f>
        <v>b187</v>
      </c>
      <c r="D65" s="18" t="str">
        <f>Data!F66</f>
        <v>Mark</v>
      </c>
      <c r="E65" s="18" t="str">
        <f>Data!G66</f>
        <v>Guelas</v>
      </c>
      <c r="F65" s="18" t="str">
        <f>Data!H66</f>
        <v>mark.guelas</v>
      </c>
      <c r="G65" s="18" t="str">
        <f>Data!I66</f>
        <v>Standard Hours</v>
      </c>
      <c r="H65" s="18" t="str">
        <f>Data!K66</f>
        <v>Stopped</v>
      </c>
      <c r="I65" s="18" t="b">
        <f>Data!L66</f>
        <v>0</v>
      </c>
      <c r="J65" s="19" t="str">
        <f>Data!N66</f>
        <v>United Civil Head Office: 19B Rewa Rewa Road, Raumanga, Whangārei 0110, New Zealand</v>
      </c>
      <c r="K65" s="19" t="str">
        <f>Data!O66</f>
        <v>Office Zone</v>
      </c>
      <c r="L65" s="20">
        <f>Data!Q66</f>
        <v>216087</v>
      </c>
      <c r="M65" s="21">
        <f>Data!R66</f>
        <v>176.60185142361112</v>
      </c>
      <c r="N65" s="22">
        <f>Data!S66</f>
        <v>45782.946403611109</v>
      </c>
      <c r="O65" s="22">
        <f>Data!T66</f>
        <v>54789.541666666664</v>
      </c>
      <c r="P65" s="23" t="b">
        <f>OR(Data!$B$2&lt;Data!S66,Data!$B$2&gt;Data!T66)</f>
        <v>0</v>
      </c>
      <c r="Q65" s="23" t="str">
        <f>Data!J66</f>
        <v>GO Mode,Garmin,HOS,Iridium,UI</v>
      </c>
      <c r="R65" s="18" t="str">
        <f>Data!U66</f>
        <v>Version 9</v>
      </c>
      <c r="S65" s="18" t="str">
        <f>CONCATENATE(Data!V66,".",Data!W66,".",Data!X66)</f>
        <v>120.45.22</v>
      </c>
      <c r="T65" s="18" t="str">
        <f>Data!Y66</f>
        <v>G9ZR500T12RW</v>
      </c>
      <c r="U65" s="18" t="str">
        <f>Data!Z66</f>
        <v>LNW704</v>
      </c>
      <c r="V65" s="18">
        <f>Data!AA66</f>
        <v>0</v>
      </c>
      <c r="W65" s="18" t="str">
        <f>Data!AD66</f>
        <v>MPBUMFF50JX172412</v>
      </c>
      <c r="X65" s="18" t="str">
        <f>Data!AF66</f>
        <v>Pacific/Auckland</v>
      </c>
      <c r="Y65" s="24" t="str">
        <f>IF(ISBLANK(Data!AG66),"",Data!AG66)</f>
        <v>Ford Ranger 2018 4x4 D/C W/S</v>
      </c>
      <c r="Z65" s="18" t="str">
        <f>Data!AL66</f>
        <v>OK</v>
      </c>
      <c r="AA65" s="22">
        <f>Data!AH66</f>
        <v>45975.510286400466</v>
      </c>
      <c r="AB65" s="22">
        <f>IF(ISBLANK(Data!AI66),"",Data!AI66)</f>
        <v>45975.84441834491</v>
      </c>
    </row>
    <row r="66" spans="1:28">
      <c r="A66" s="18" t="str">
        <f>Data!A67</f>
        <v>500</v>
      </c>
      <c r="B66" s="18" t="str">
        <f>Data!C67</f>
        <v>Light Diesel Vehicles, Diesel, LDV/Trade Staff, Trade Staff</v>
      </c>
      <c r="C66" s="18" t="str">
        <f>Data!B67</f>
        <v>b104</v>
      </c>
      <c r="D66" s="18">
        <f>Data!F67</f>
        <v>0</v>
      </c>
      <c r="E66" s="18">
        <f>Data!G67</f>
        <v>0</v>
      </c>
      <c r="F66" s="18">
        <f>Data!H67</f>
        <v>0</v>
      </c>
      <c r="G66" s="18" t="str">
        <f>Data!I67</f>
        <v>Standard Hours</v>
      </c>
      <c r="H66" s="18" t="str">
        <f>Data!K67</f>
        <v>Stopped</v>
      </c>
      <c r="I66" s="18" t="b">
        <f>Data!L67</f>
        <v>0</v>
      </c>
      <c r="J66" s="19" t="str">
        <f>Data!N67</f>
        <v>Gillingham Road: 62A Gillingham Road, Te Kamo, Whangārei 0112, New Zealand</v>
      </c>
      <c r="K66" s="19" t="str">
        <f>Data!O67</f>
        <v>Project</v>
      </c>
      <c r="L66" s="20">
        <f>Data!Q67</f>
        <v>313710</v>
      </c>
      <c r="M66" s="21">
        <f>Data!R67</f>
        <v>7.7172958217592589</v>
      </c>
      <c r="N66" s="22">
        <f>Data!S67</f>
        <v>45724.467322453704</v>
      </c>
      <c r="O66" s="22">
        <f>Data!T67</f>
        <v>54789.541666666664</v>
      </c>
      <c r="P66" s="23" t="b">
        <f>OR(Data!$B$2&lt;Data!S67,Data!$B$2&gt;Data!T67)</f>
        <v>0</v>
      </c>
      <c r="Q66" s="23" t="str">
        <f>Data!J67</f>
        <v>GO Mode,Garmin,HOS,Iridium,UI</v>
      </c>
      <c r="R66" s="18" t="str">
        <f>Data!U67</f>
        <v>Version 9</v>
      </c>
      <c r="S66" s="18" t="str">
        <f>CONCATENATE(Data!V67,".",Data!W67,".",Data!X67)</f>
        <v>120.42.57</v>
      </c>
      <c r="T66" s="18" t="str">
        <f>Data!Y67</f>
        <v>G96E211C5005</v>
      </c>
      <c r="U66" s="18" t="str">
        <f>Data!Z67</f>
        <v>GNA826</v>
      </c>
      <c r="V66" s="18">
        <f>Data!AA67</f>
        <v>0</v>
      </c>
      <c r="W66" s="18" t="str">
        <f>Data!AD67</f>
        <v>MM0UP0YF100131547</v>
      </c>
      <c r="X66" s="18" t="str">
        <f>Data!AF67</f>
        <v>Pacific/Auckland</v>
      </c>
      <c r="Y66" s="24" t="str">
        <f>IF(ISBLANK(Data!AG67),"",Data!AG67)</f>
        <v>Mazda BT-50 2012 4x2 GLX Cabplus W/S</v>
      </c>
      <c r="Z66" s="18" t="str">
        <f>Data!AL67</f>
        <v>OK</v>
      </c>
      <c r="AA66" s="22">
        <f>Data!AH67</f>
        <v>45975.646253460647</v>
      </c>
      <c r="AB66" s="22">
        <f>IF(ISBLANK(Data!AI67),"",Data!AI67)</f>
        <v>45975.856160868054</v>
      </c>
    </row>
    <row r="67" spans="1:28">
      <c r="A67" s="18" t="str">
        <f>Data!A68</f>
        <v>501</v>
      </c>
      <c r="B67" s="18" t="str">
        <f>Data!C68</f>
        <v>Light Diesel Vehicles, Diesel, LDV/Trade Staff, Trade Staff</v>
      </c>
      <c r="C67" s="18" t="str">
        <f>Data!B68</f>
        <v>b110</v>
      </c>
      <c r="D67" s="18">
        <f>Data!F68</f>
        <v>0</v>
      </c>
      <c r="E67" s="18">
        <f>Data!G68</f>
        <v>0</v>
      </c>
      <c r="F67" s="18">
        <f>Data!H68</f>
        <v>0</v>
      </c>
      <c r="G67" s="18" t="str">
        <f>Data!I68</f>
        <v>Standard Hours</v>
      </c>
      <c r="H67" s="18" t="str">
        <f>Data!K68</f>
        <v>Stopped</v>
      </c>
      <c r="I67" s="18" t="b">
        <f>Data!L68</f>
        <v>0</v>
      </c>
      <c r="J67" s="19" t="str">
        <f>Data!N68</f>
        <v>2915 State Highway 12, Waimā 0473, New Zealand</v>
      </c>
      <c r="K67" s="19">
        <f>Data!O68</f>
        <v>0</v>
      </c>
      <c r="L67" s="20">
        <f>Data!Q68</f>
        <v>191253</v>
      </c>
      <c r="M67" s="21">
        <f>Data!R68</f>
        <v>16.18579732638889</v>
      </c>
      <c r="N67" s="22">
        <f>Data!S68</f>
        <v>45724.486282384256</v>
      </c>
      <c r="O67" s="22">
        <f>Data!T68</f>
        <v>54789.541666666664</v>
      </c>
      <c r="P67" s="23" t="b">
        <f>OR(Data!$B$2&lt;Data!S68,Data!$B$2&gt;Data!T68)</f>
        <v>0</v>
      </c>
      <c r="Q67" s="23" t="str">
        <f>Data!J68</f>
        <v>GO Mode,Garmin,HOS,Iridium,UI</v>
      </c>
      <c r="R67" s="18" t="str">
        <f>Data!U68</f>
        <v>Version 9</v>
      </c>
      <c r="S67" s="18" t="str">
        <f>CONCATENATE(Data!V68,".",Data!W68,".",Data!X68)</f>
        <v>120.42.57</v>
      </c>
      <c r="T67" s="18" t="str">
        <f>Data!Y68</f>
        <v>G9FR3C2VRKST</v>
      </c>
      <c r="U67" s="18" t="str">
        <f>Data!Z68</f>
        <v>GPR852</v>
      </c>
      <c r="V67" s="18">
        <f>Data!AA68</f>
        <v>0</v>
      </c>
      <c r="W67" s="18" t="str">
        <f>Data!AD68</f>
        <v>MM0UP0YF100125065</v>
      </c>
      <c r="X67" s="18" t="str">
        <f>Data!AF68</f>
        <v>Pacific/Auckland</v>
      </c>
      <c r="Y67" s="24" t="str">
        <f>IF(ISBLANK(Data!AG68),"",Data!AG68)</f>
        <v>Mazda BT-50 2012 4x2 GLX D/C W/S</v>
      </c>
      <c r="Z67" s="18" t="str">
        <f>Data!AL68</f>
        <v>OK</v>
      </c>
      <c r="AA67" s="22">
        <f>Data!AH68</f>
        <v>45975.629012048608</v>
      </c>
      <c r="AB67" s="22">
        <f>IF(ISBLANK(Data!AI68),"",Data!AI68)</f>
        <v>45975.859579178243</v>
      </c>
    </row>
    <row r="68" spans="1:28">
      <c r="A68" s="18" t="str">
        <f>Data!A69</f>
        <v>502</v>
      </c>
      <c r="B68" s="18" t="str">
        <f>Data!C69</f>
        <v>Light Diesel Vehicles, Diesel, LDV/Supervisor, Supervisor</v>
      </c>
      <c r="C68" s="18" t="str">
        <f>Data!B69</f>
        <v>b129</v>
      </c>
      <c r="D68" s="18">
        <f>Data!F69</f>
        <v>0</v>
      </c>
      <c r="E68" s="18">
        <f>Data!G69</f>
        <v>0</v>
      </c>
      <c r="F68" s="18">
        <f>Data!H69</f>
        <v>0</v>
      </c>
      <c r="G68" s="18" t="str">
        <f>Data!I69</f>
        <v>Standard Hours</v>
      </c>
      <c r="H68" s="18" t="str">
        <f>Data!K69</f>
        <v>Stopped</v>
      </c>
      <c r="I68" s="18" t="b">
        <f>Data!L69</f>
        <v>0</v>
      </c>
      <c r="J68" s="19" t="str">
        <f>Data!N69</f>
        <v>83 Hatea Drive, Regent, Whangārei 0112, New Zealand</v>
      </c>
      <c r="K68" s="19">
        <f>Data!O69</f>
        <v>0</v>
      </c>
      <c r="L68" s="20">
        <f>Data!Q69</f>
        <v>222856</v>
      </c>
      <c r="M68" s="21">
        <f>Data!R69</f>
        <v>190.89583335648149</v>
      </c>
      <c r="N68" s="22">
        <f>Data!S69</f>
        <v>45734.562146226854</v>
      </c>
      <c r="O68" s="22">
        <f>Data!T69</f>
        <v>54789.541666666664</v>
      </c>
      <c r="P68" s="23" t="b">
        <f>OR(Data!$B$2&lt;Data!S69,Data!$B$2&gt;Data!T69)</f>
        <v>0</v>
      </c>
      <c r="Q68" s="23" t="str">
        <f>Data!J69</f>
        <v>GO Mode,Garmin,HOS,Iridium,UI</v>
      </c>
      <c r="R68" s="18" t="str">
        <f>Data!U69</f>
        <v>Version 9</v>
      </c>
      <c r="S68" s="18" t="str">
        <f>CONCATENATE(Data!V69,".",Data!W69,".",Data!X69)</f>
        <v>120.45.24</v>
      </c>
      <c r="T68" s="18" t="str">
        <f>Data!Y69</f>
        <v>G96RNKEN5TRF</v>
      </c>
      <c r="U68" s="18" t="str">
        <f>Data!Z69</f>
        <v>MBF560</v>
      </c>
      <c r="V68" s="18">
        <f>Data!AA69</f>
        <v>0</v>
      </c>
      <c r="W68" s="18" t="str">
        <f>Data!AD69</f>
        <v>MPBUMFF50JX204764</v>
      </c>
      <c r="X68" s="18" t="str">
        <f>Data!AF69</f>
        <v>Pacific/Auckland</v>
      </c>
      <c r="Y68" s="24" t="str">
        <f>IF(ISBLANK(Data!AG69),"",Data!AG69)</f>
        <v>Ford Ranger 2019 4x2 XLT D/C W/S</v>
      </c>
      <c r="Z68" s="18" t="str">
        <f>Data!AL69</f>
        <v>OK</v>
      </c>
      <c r="AA68" s="22">
        <f>Data!AH69</f>
        <v>45975.765239641201</v>
      </c>
      <c r="AB68" s="22">
        <f>IF(ISBLANK(Data!AI69),"",Data!AI69)</f>
        <v>45975.850054456016</v>
      </c>
    </row>
    <row r="69" spans="1:28">
      <c r="A69" s="18" t="str">
        <f>Data!A70</f>
        <v>503</v>
      </c>
      <c r="B69" s="18" t="str">
        <f>Data!C70</f>
        <v>Light Diesel Vehicles, Diesel, LDV/Trade Staff, Trade Staff</v>
      </c>
      <c r="C69" s="18" t="str">
        <f>Data!B70</f>
        <v>b180</v>
      </c>
      <c r="D69" s="18" t="str">
        <f>Data!F70</f>
        <v>Jaco</v>
      </c>
      <c r="E69" s="18" t="str">
        <f>Data!G70</f>
        <v>Van Dijk</v>
      </c>
      <c r="F69" s="18" t="str">
        <f>Data!H70</f>
        <v>jaco.vandijk</v>
      </c>
      <c r="G69" s="18" t="str">
        <f>Data!I70</f>
        <v>Standard Hours</v>
      </c>
      <c r="H69" s="18" t="str">
        <f>Data!K70</f>
        <v>Stopped</v>
      </c>
      <c r="I69" s="18" t="b">
        <f>Data!L70</f>
        <v>0</v>
      </c>
      <c r="J69" s="19" t="str">
        <f>Data!N70</f>
        <v>107 Beverley Terrace, Whangamatā 3620, New Zealand</v>
      </c>
      <c r="K69" s="19">
        <f>Data!O70</f>
        <v>0</v>
      </c>
      <c r="L69" s="20">
        <f>Data!Q70</f>
        <v>226992</v>
      </c>
      <c r="M69" s="21">
        <f>Data!R70</f>
        <v>7.2601068518518517</v>
      </c>
      <c r="N69" s="22">
        <f>Data!S70</f>
        <v>45782.947095150463</v>
      </c>
      <c r="O69" s="22">
        <f>Data!T70</f>
        <v>54789.541666666664</v>
      </c>
      <c r="P69" s="23" t="b">
        <f>OR(Data!$B$2&lt;Data!S70,Data!$B$2&gt;Data!T70)</f>
        <v>0</v>
      </c>
      <c r="Q69" s="23" t="str">
        <f>Data!J70</f>
        <v>GO Mode,Garmin,HOS,Iridium,UI</v>
      </c>
      <c r="R69" s="18" t="str">
        <f>Data!U70</f>
        <v>Version 9</v>
      </c>
      <c r="S69" s="18" t="str">
        <f>CONCATENATE(Data!V70,".",Data!W70,".",Data!X70)</f>
        <v>120.45.22</v>
      </c>
      <c r="T69" s="18" t="str">
        <f>Data!Y70</f>
        <v>G9MEUJNUNVNF</v>
      </c>
      <c r="U69" s="18" t="str">
        <f>Data!Z70</f>
        <v>HHS395</v>
      </c>
      <c r="V69" s="18">
        <f>Data!AA70</f>
        <v>0</v>
      </c>
      <c r="W69" s="18" t="str">
        <f>Data!AD70</f>
        <v>MNAUMFF50EW250916</v>
      </c>
      <c r="X69" s="18" t="str">
        <f>Data!AF70</f>
        <v>Pacific/Auckland</v>
      </c>
      <c r="Y69" s="24" t="str">
        <f>IF(ISBLANK(Data!AG70),"",Data!AG70)</f>
        <v>Ford Ranger 2014 4x2 XL D/C W/S</v>
      </c>
      <c r="Z69" s="18" t="str">
        <f>Data!AL70</f>
        <v>OK</v>
      </c>
      <c r="AA69" s="22">
        <f>Data!AH70</f>
        <v>45975.816766840275</v>
      </c>
      <c r="AB69" s="22">
        <f>IF(ISBLANK(Data!AI70),"",Data!AI70)</f>
        <v>45975.859972858794</v>
      </c>
    </row>
    <row r="70" spans="1:28">
      <c r="A70" s="18" t="str">
        <f>Data!A71</f>
        <v>505</v>
      </c>
      <c r="B70" s="18" t="str">
        <f>Data!C71</f>
        <v>Light Diesel Vehicles, LDV/Trade Staff, Trade Staff</v>
      </c>
      <c r="C70" s="18" t="str">
        <f>Data!B71</f>
        <v>b10F</v>
      </c>
      <c r="D70" s="18">
        <f>Data!F71</f>
        <v>0</v>
      </c>
      <c r="E70" s="18">
        <f>Data!G71</f>
        <v>0</v>
      </c>
      <c r="F70" s="18">
        <f>Data!H71</f>
        <v>0</v>
      </c>
      <c r="G70" s="18" t="str">
        <f>Data!I71</f>
        <v>Standard Hours</v>
      </c>
      <c r="H70" s="18" t="str">
        <f>Data!K71</f>
        <v>Stopped</v>
      </c>
      <c r="I70" s="18" t="b">
        <f>Data!L71</f>
        <v>0</v>
      </c>
      <c r="J70" s="19" t="str">
        <f>Data!N71</f>
        <v>1 Wessex Street, Tikipunga, Whangārei 0112, New Zealand</v>
      </c>
      <c r="K70" s="19">
        <f>Data!O71</f>
        <v>0</v>
      </c>
      <c r="L70" s="20">
        <f>Data!Q71</f>
        <v>227499.015625</v>
      </c>
      <c r="M70" s="21">
        <f>Data!R71</f>
        <v>20.251641886574074</v>
      </c>
      <c r="N70" s="22">
        <f>Data!S71</f>
        <v>45724.485530497688</v>
      </c>
      <c r="O70" s="22">
        <f>Data!T71</f>
        <v>54789.541666666664</v>
      </c>
      <c r="P70" s="23" t="b">
        <f>OR(Data!$B$2&lt;Data!S71,Data!$B$2&gt;Data!T71)</f>
        <v>0</v>
      </c>
      <c r="Q70" s="23" t="str">
        <f>Data!J71</f>
        <v>GO Mode,Garmin,HOS,Iridium,UI</v>
      </c>
      <c r="R70" s="18" t="str">
        <f>Data!U71</f>
        <v>Version 9</v>
      </c>
      <c r="S70" s="18" t="str">
        <f>CONCATENATE(Data!V71,".",Data!W71,".",Data!X71)</f>
        <v>120.42.57</v>
      </c>
      <c r="T70" s="18" t="str">
        <f>Data!Y71</f>
        <v>G9B5211A6EE2</v>
      </c>
      <c r="U70" s="18" t="str">
        <f>Data!Z71</f>
        <v>HQL909</v>
      </c>
      <c r="V70" s="18">
        <f>Data!AA71</f>
        <v>0</v>
      </c>
      <c r="W70" s="18">
        <f>Data!AD71</f>
        <v>0</v>
      </c>
      <c r="X70" s="18" t="str">
        <f>Data!AF71</f>
        <v>Pacific/Auckland</v>
      </c>
      <c r="Y70" s="24" t="str">
        <f>IF(ISBLANK(Data!AG71),"",Data!AG71)</f>
        <v>Toyota Hilux 2014 4x2 D/C W/S</v>
      </c>
      <c r="Z70" s="18" t="str">
        <f>Data!AL71</f>
        <v>OK</v>
      </c>
      <c r="AA70" s="22">
        <f>Data!AH71</f>
        <v>45975.715988483797</v>
      </c>
      <c r="AB70" s="22">
        <f>IF(ISBLANK(Data!AI71),"",Data!AI71)</f>
        <v>45975.842261631944</v>
      </c>
    </row>
    <row r="71" spans="1:28">
      <c r="A71" s="18" t="str">
        <f>Data!A72</f>
        <v>508</v>
      </c>
      <c r="B71" s="18" t="str">
        <f>Data!C72</f>
        <v>Light Diesel Vehicles, Diesel, LDV/Trade Staff, Trade Staff</v>
      </c>
      <c r="C71" s="18" t="str">
        <f>Data!B72</f>
        <v>b122</v>
      </c>
      <c r="D71" s="18" t="str">
        <f>Data!F72</f>
        <v>Mahesh</v>
      </c>
      <c r="E71" s="18" t="str">
        <f>Data!G72</f>
        <v>Prasad</v>
      </c>
      <c r="F71" s="18" t="str">
        <f>Data!H72</f>
        <v>mahesh.prasad</v>
      </c>
      <c r="G71" s="18" t="str">
        <f>Data!I72</f>
        <v>Standard Hours</v>
      </c>
      <c r="H71" s="18" t="str">
        <f>Data!K72</f>
        <v>Stopped</v>
      </c>
      <c r="I71" s="18" t="b">
        <f>Data!L72</f>
        <v>0</v>
      </c>
      <c r="J71" s="19" t="str">
        <f>Data!N72</f>
        <v>3 Provisional Drive, Te Kamo, Whangārei 0112, New Zealand</v>
      </c>
      <c r="K71" s="19">
        <f>Data!O72</f>
        <v>0</v>
      </c>
      <c r="L71" s="20">
        <f>Data!Q72</f>
        <v>307822.78125</v>
      </c>
      <c r="M71" s="21">
        <f>Data!R72</f>
        <v>207.61720668981482</v>
      </c>
      <c r="N71" s="22">
        <f>Data!S72</f>
        <v>45807.562881180558</v>
      </c>
      <c r="O71" s="22">
        <f>Data!T72</f>
        <v>54789.541666666664</v>
      </c>
      <c r="P71" s="23" t="b">
        <f>OR(Data!$B$2&lt;Data!S72,Data!$B$2&gt;Data!T72)</f>
        <v>0</v>
      </c>
      <c r="Q71" s="23" t="str">
        <f>Data!J72</f>
        <v>GO Mode,Garmin,HOS,Iridium,UI</v>
      </c>
      <c r="R71" s="18" t="str">
        <f>Data!U72</f>
        <v>Version 9</v>
      </c>
      <c r="S71" s="18" t="str">
        <f>CONCATENATE(Data!V72,".",Data!W72,".",Data!X72)</f>
        <v>120.45.22</v>
      </c>
      <c r="T71" s="18" t="str">
        <f>Data!Y72</f>
        <v>G9BYHXDZYTJS</v>
      </c>
      <c r="U71" s="18" t="str">
        <f>Data!Z72</f>
        <v>JSC564</v>
      </c>
      <c r="V71" s="18">
        <f>Data!AA72</f>
        <v>0</v>
      </c>
      <c r="W71" s="18" t="str">
        <f>Data!AD72</f>
        <v>MNAUMFF50GW545039</v>
      </c>
      <c r="X71" s="18" t="str">
        <f>Data!AF72</f>
        <v>Pacific/Auckland</v>
      </c>
      <c r="Y71" s="24" t="str">
        <f>IF(ISBLANK(Data!AG72),"",Data!AG72)</f>
        <v>Ford Ranger 2016 4x2 XL D/C W/S</v>
      </c>
      <c r="Z71" s="18" t="str">
        <f>Data!AL72</f>
        <v>OK</v>
      </c>
      <c r="AA71" s="22">
        <f>Data!AH72</f>
        <v>45975.75166454861</v>
      </c>
      <c r="AB71" s="22">
        <f>IF(ISBLANK(Data!AI72),"",Data!AI72)</f>
        <v>45975.859963159724</v>
      </c>
    </row>
    <row r="72" spans="1:28">
      <c r="A72" s="18" t="str">
        <f>Data!A73</f>
        <v>509</v>
      </c>
      <c r="B72" s="18" t="str">
        <f>Data!C73</f>
        <v>Light Diesel Vehicles, Diesel, LDV/PM, PM</v>
      </c>
      <c r="C72" s="18" t="str">
        <f>Data!B73</f>
        <v>b17F</v>
      </c>
      <c r="D72" s="18" t="str">
        <f>Data!F73</f>
        <v>Colin</v>
      </c>
      <c r="E72" s="18" t="str">
        <f>Data!G73</f>
        <v>Newbold</v>
      </c>
      <c r="F72" s="18" t="str">
        <f>Data!H73</f>
        <v>colin.newbold@unitedcivil.co.nz</v>
      </c>
      <c r="G72" s="18" t="str">
        <f>Data!I73</f>
        <v>Standard Hours</v>
      </c>
      <c r="H72" s="18" t="str">
        <f>Data!K73</f>
        <v>Stopped</v>
      </c>
      <c r="I72" s="18" t="b">
        <f>Data!L73</f>
        <v>0</v>
      </c>
      <c r="J72" s="19" t="str">
        <f>Data!N73</f>
        <v>3223 State Highway 2, Tutira 4181, New Zealand</v>
      </c>
      <c r="K72" s="19">
        <f>Data!O73</f>
        <v>0</v>
      </c>
      <c r="L72" s="20">
        <f>Data!Q73</f>
        <v>135374</v>
      </c>
      <c r="M72" s="21">
        <f>Data!R73</f>
        <v>118.26250001157408</v>
      </c>
      <c r="N72" s="22">
        <f>Data!S73</f>
        <v>45782.947577326391</v>
      </c>
      <c r="O72" s="22">
        <f>Data!T73</f>
        <v>54789.541666666664</v>
      </c>
      <c r="P72" s="23" t="b">
        <f>OR(Data!$B$2&lt;Data!S73,Data!$B$2&gt;Data!T73)</f>
        <v>0</v>
      </c>
      <c r="Q72" s="23" t="str">
        <f>Data!J73</f>
        <v>GO Mode,Garmin,HOS,Iridium,UI</v>
      </c>
      <c r="R72" s="18" t="str">
        <f>Data!U73</f>
        <v>Version 9</v>
      </c>
      <c r="S72" s="18" t="str">
        <f>CONCATENATE(Data!V73,".",Data!W73,".",Data!X73)</f>
        <v>120.42.57</v>
      </c>
      <c r="T72" s="18" t="str">
        <f>Data!Y73</f>
        <v>G9FU3TR603BC</v>
      </c>
      <c r="U72" s="18" t="str">
        <f>Data!Z73</f>
        <v>MTZ279</v>
      </c>
      <c r="V72" s="18">
        <f>Data!AA73</f>
        <v>0</v>
      </c>
      <c r="W72" s="18" t="str">
        <f>Data!AD73</f>
        <v>MPBUMFF50KX264312</v>
      </c>
      <c r="X72" s="18" t="str">
        <f>Data!AF73</f>
        <v>Pacific/Auckland</v>
      </c>
      <c r="Y72" s="24" t="str">
        <f>IF(ISBLANK(Data!AG73),"",Data!AG73)</f>
        <v>Ford Ranger 2020 4x2 XLT D/C W/S</v>
      </c>
      <c r="Z72" s="18" t="str">
        <f>Data!AL73</f>
        <v>OK</v>
      </c>
      <c r="AA72" s="22">
        <f>Data!AH73</f>
        <v>45975.803485543984</v>
      </c>
      <c r="AB72" s="22">
        <f>IF(ISBLANK(Data!AI73),"",Data!AI73)</f>
        <v>45975.846784155096</v>
      </c>
    </row>
    <row r="73" spans="1:28">
      <c r="A73" s="18" t="str">
        <f>Data!A74</f>
        <v>510</v>
      </c>
      <c r="B73" s="18" t="str">
        <f>Data!C74</f>
        <v>Light Diesel Vehicles, Diesel, LDV/PE, PE</v>
      </c>
      <c r="C73" s="18" t="str">
        <f>Data!B74</f>
        <v>b184</v>
      </c>
      <c r="D73" s="18" t="str">
        <f>Data!F74</f>
        <v>Thomas</v>
      </c>
      <c r="E73" s="18" t="str">
        <f>Data!G74</f>
        <v>Blaza</v>
      </c>
      <c r="F73" s="18" t="str">
        <f>Data!H74</f>
        <v>thomas.blaza@unitedcivil.co.nz</v>
      </c>
      <c r="G73" s="18" t="str">
        <f>Data!I74</f>
        <v>Standard Hours</v>
      </c>
      <c r="H73" s="18" t="str">
        <f>Data!K74</f>
        <v>Stopped</v>
      </c>
      <c r="I73" s="18" t="b">
        <f>Data!L74</f>
        <v>0</v>
      </c>
      <c r="J73" s="19" t="str">
        <f>Data!N74</f>
        <v>220 Marsden Point Road, Ruakākā 0116, New Zealand</v>
      </c>
      <c r="K73" s="19">
        <f>Data!O74</f>
        <v>0</v>
      </c>
      <c r="L73" s="20">
        <f>Data!Q74</f>
        <v>139270</v>
      </c>
      <c r="M73" s="21">
        <f>Data!R74</f>
        <v>135.62916668981481</v>
      </c>
      <c r="N73" s="22">
        <f>Data!S74</f>
        <v>45782.948031354164</v>
      </c>
      <c r="O73" s="22">
        <f>Data!T74</f>
        <v>54789.541666666664</v>
      </c>
      <c r="P73" s="23" t="b">
        <f>OR(Data!$B$2&lt;Data!S74,Data!$B$2&gt;Data!T74)</f>
        <v>0</v>
      </c>
      <c r="Q73" s="23" t="str">
        <f>Data!J74</f>
        <v>GO Mode,Garmin,HOS,Iridium,UI</v>
      </c>
      <c r="R73" s="18" t="str">
        <f>Data!U74</f>
        <v>Version 9</v>
      </c>
      <c r="S73" s="18" t="str">
        <f>CONCATENATE(Data!V74,".",Data!W74,".",Data!X74)</f>
        <v>120.42.57</v>
      </c>
      <c r="T73" s="18" t="str">
        <f>Data!Y74</f>
        <v>G9H2KS9R6AKS</v>
      </c>
      <c r="U73" s="18" t="str">
        <f>Data!Z74</f>
        <v>MTZ278</v>
      </c>
      <c r="V73" s="18">
        <f>Data!AA74</f>
        <v>0</v>
      </c>
      <c r="W73" s="18" t="str">
        <f>Data!AD74</f>
        <v>MPBUMFF50LX266963</v>
      </c>
      <c r="X73" s="18" t="str">
        <f>Data!AF74</f>
        <v>Pacific/Auckland</v>
      </c>
      <c r="Y73" s="24" t="str">
        <f>IF(ISBLANK(Data!AG74),"",Data!AG74)</f>
        <v>Ford Ranger 2020 4x2 XLT D/C W/S</v>
      </c>
      <c r="Z73" s="18" t="str">
        <f>Data!AL74</f>
        <v>OK</v>
      </c>
      <c r="AA73" s="22">
        <f>Data!AH74</f>
        <v>45975.712053055555</v>
      </c>
      <c r="AB73" s="22">
        <f>IF(ISBLANK(Data!AI74),"",Data!AI74)</f>
        <v>45975.859367870369</v>
      </c>
    </row>
    <row r="74" spans="1:28">
      <c r="A74" s="18" t="str">
        <f>Data!A75</f>
        <v>511</v>
      </c>
      <c r="B74" s="18" t="str">
        <f>Data!C75</f>
        <v>Light Diesel Vehicles, Diesel, LDV/Trade Staff, Trade Staff</v>
      </c>
      <c r="C74" s="18" t="str">
        <f>Data!B75</f>
        <v>b19E</v>
      </c>
      <c r="D74" s="18" t="str">
        <f>Data!F75</f>
        <v>Damien</v>
      </c>
      <c r="E74" s="18" t="str">
        <f>Data!G75</f>
        <v>Walters</v>
      </c>
      <c r="F74" s="18" t="str">
        <f>Data!H75</f>
        <v>damien.walters</v>
      </c>
      <c r="G74" s="18" t="str">
        <f>Data!I75</f>
        <v>Standard Hours</v>
      </c>
      <c r="H74" s="18" t="str">
        <f>Data!K75</f>
        <v>Stopped</v>
      </c>
      <c r="I74" s="18" t="b">
        <f>Data!L75</f>
        <v>0</v>
      </c>
      <c r="J74" s="19" t="str">
        <f>Data!N75</f>
        <v>122 Raumanga Heights Drive, Raumanga, Whangārei 0110, New Zealand</v>
      </c>
      <c r="K74" s="19">
        <f>Data!O75</f>
        <v>0</v>
      </c>
      <c r="L74" s="20">
        <f>Data!Q75</f>
        <v>210375</v>
      </c>
      <c r="M74" s="21">
        <f>Data!R75</f>
        <v>215.10833336805555</v>
      </c>
      <c r="N74" s="22">
        <f>Data!S75</f>
        <v>45782.948485532404</v>
      </c>
      <c r="O74" s="22">
        <f>Data!T75</f>
        <v>54789.541666666664</v>
      </c>
      <c r="P74" s="23" t="b">
        <f>OR(Data!$B$2&lt;Data!S75,Data!$B$2&gt;Data!T75)</f>
        <v>0</v>
      </c>
      <c r="Q74" s="23" t="str">
        <f>Data!J75</f>
        <v>GO Mode,Garmin,HOS,Iridium,UI</v>
      </c>
      <c r="R74" s="18" t="str">
        <f>Data!U75</f>
        <v>Version 9</v>
      </c>
      <c r="S74" s="18" t="str">
        <f>CONCATENATE(Data!V75,".",Data!W75,".",Data!X75)</f>
        <v>120.45.22</v>
      </c>
      <c r="T74" s="18" t="str">
        <f>Data!Y75</f>
        <v>G93WYUWHSU8B</v>
      </c>
      <c r="U74" s="18" t="str">
        <f>Data!Z75</f>
        <v>KCU68</v>
      </c>
      <c r="V74" s="18">
        <f>Data!AA75</f>
        <v>0</v>
      </c>
      <c r="W74" s="18" t="str">
        <f>Data!AD75</f>
        <v>MNAUMFF50GW582771</v>
      </c>
      <c r="X74" s="18" t="str">
        <f>Data!AF75</f>
        <v>Pacific/Auckland</v>
      </c>
      <c r="Y74" s="24" t="str">
        <f>IF(ISBLANK(Data!AG75),"",Data!AG75)</f>
        <v>Ford Ranger 2016 4x2 XL D/C W/S</v>
      </c>
      <c r="Z74" s="18" t="str">
        <f>Data!AL75</f>
        <v>OK</v>
      </c>
      <c r="AA74" s="22">
        <f>Data!AH75</f>
        <v>45975.743604502313</v>
      </c>
      <c r="AB74" s="22">
        <f>IF(ISBLANK(Data!AI75),"",Data!AI75)</f>
        <v>45975.84927579861</v>
      </c>
    </row>
    <row r="75" spans="1:28">
      <c r="A75" s="18" t="str">
        <f>Data!A76</f>
        <v>512</v>
      </c>
      <c r="B75" s="18" t="str">
        <f>Data!C76</f>
        <v>Light Diesel Vehicles, Diesel, LDV/Trade Staff, Trade Staff</v>
      </c>
      <c r="C75" s="18" t="str">
        <f>Data!B76</f>
        <v>b186</v>
      </c>
      <c r="D75" s="18" t="str">
        <f>Data!F76</f>
        <v>William (Billy)</v>
      </c>
      <c r="E75" s="18" t="str">
        <f>Data!G76</f>
        <v>Gibson</v>
      </c>
      <c r="F75" s="18" t="str">
        <f>Data!H76</f>
        <v>william.gibson</v>
      </c>
      <c r="G75" s="18" t="str">
        <f>Data!I76</f>
        <v>Standard Hours</v>
      </c>
      <c r="H75" s="18" t="str">
        <f>Data!K76</f>
        <v>Stopped</v>
      </c>
      <c r="I75" s="18" t="b">
        <f>Data!L76</f>
        <v>0</v>
      </c>
      <c r="J75" s="19" t="str">
        <f>Data!N76</f>
        <v>183 Ngunguru Ford Road, Kiripaka 0173, New Zealand</v>
      </c>
      <c r="K75" s="19">
        <f>Data!O76</f>
        <v>0</v>
      </c>
      <c r="L75" s="20">
        <f>Data!Q76</f>
        <v>224995</v>
      </c>
      <c r="M75" s="21">
        <f>Data!R76</f>
        <v>6.8945932638888889</v>
      </c>
      <c r="N75" s="22">
        <f>Data!S76</f>
        <v>45782.94951273148</v>
      </c>
      <c r="O75" s="22">
        <f>Data!T76</f>
        <v>54789.541666666664</v>
      </c>
      <c r="P75" s="23" t="b">
        <f>OR(Data!$B$2&lt;Data!S76,Data!$B$2&gt;Data!T76)</f>
        <v>0</v>
      </c>
      <c r="Q75" s="23" t="str">
        <f>Data!J76</f>
        <v>GO Mode,Garmin,HOS,Iridium,UI</v>
      </c>
      <c r="R75" s="18" t="str">
        <f>Data!U76</f>
        <v>Version 9</v>
      </c>
      <c r="S75" s="18" t="str">
        <f>CONCATENATE(Data!V76,".",Data!W76,".",Data!X76)</f>
        <v>120.45.22</v>
      </c>
      <c r="T75" s="18" t="str">
        <f>Data!Y76</f>
        <v>G98ZZCXYU1H0</v>
      </c>
      <c r="U75" s="18" t="str">
        <f>Data!Z76</f>
        <v>HYN614</v>
      </c>
      <c r="V75" s="18">
        <f>Data!AA76</f>
        <v>0</v>
      </c>
      <c r="W75" s="18" t="str">
        <f>Data!AD76</f>
        <v>MNAUMFF50EW308528</v>
      </c>
      <c r="X75" s="18" t="str">
        <f>Data!AF76</f>
        <v>Pacific/Auckland</v>
      </c>
      <c r="Y75" s="24" t="str">
        <f>IF(ISBLANK(Data!AG76),"",Data!AG76)</f>
        <v>Ford Ranger 2015 4x2 XL D/C W/S</v>
      </c>
      <c r="Z75" s="18" t="str">
        <f>Data!AL76</f>
        <v>OK</v>
      </c>
      <c r="AA75" s="22">
        <f>Data!AH76</f>
        <v>45975.752619375002</v>
      </c>
      <c r="AB75" s="22">
        <f>IF(ISBLANK(Data!AI76),"",Data!AI76)</f>
        <v>45975.858255949075</v>
      </c>
    </row>
    <row r="76" spans="1:28">
      <c r="A76" s="18" t="str">
        <f>Data!A77</f>
        <v>513</v>
      </c>
      <c r="B76" s="18" t="str">
        <f>Data!C77</f>
        <v>Light Diesel Vehicles, Diesel, LDV/PE, PE</v>
      </c>
      <c r="C76" s="18" t="str">
        <f>Data!B77</f>
        <v>b18C</v>
      </c>
      <c r="D76" s="18" t="str">
        <f>Data!F77</f>
        <v>Cameron</v>
      </c>
      <c r="E76" s="18" t="str">
        <f>Data!G77</f>
        <v>Hinge</v>
      </c>
      <c r="F76" s="18" t="str">
        <f>Data!H77</f>
        <v>cameron.hinge@unitedcivil.co.nz</v>
      </c>
      <c r="G76" s="18" t="str">
        <f>Data!I77</f>
        <v>Standard Hours</v>
      </c>
      <c r="H76" s="18" t="str">
        <f>Data!K77</f>
        <v>Stopped</v>
      </c>
      <c r="I76" s="18" t="b">
        <f>Data!L77</f>
        <v>0</v>
      </c>
      <c r="J76" s="19" t="str">
        <f>Data!N77</f>
        <v>42 Great North Road, Te Kamo, Whangārei 0112, New Zealand</v>
      </c>
      <c r="K76" s="19">
        <f>Data!O77</f>
        <v>0</v>
      </c>
      <c r="L76" s="20">
        <f>Data!Q77</f>
        <v>169380</v>
      </c>
      <c r="M76" s="21">
        <f>Data!R77</f>
        <v>143.37083336805554</v>
      </c>
      <c r="N76" s="22">
        <f>Data!S77</f>
        <v>45782.950107708333</v>
      </c>
      <c r="O76" s="22">
        <f>Data!T77</f>
        <v>54789.541666666664</v>
      </c>
      <c r="P76" s="23" t="b">
        <f>OR(Data!$B$2&lt;Data!S77,Data!$B$2&gt;Data!T77)</f>
        <v>0</v>
      </c>
      <c r="Q76" s="23" t="str">
        <f>Data!J77</f>
        <v>GO Mode,Garmin,HOS,Iridium,UI</v>
      </c>
      <c r="R76" s="18" t="str">
        <f>Data!U77</f>
        <v>Version 9</v>
      </c>
      <c r="S76" s="18" t="str">
        <f>CONCATENATE(Data!V77,".",Data!W77,".",Data!X77)</f>
        <v>120.42.57</v>
      </c>
      <c r="T76" s="18" t="str">
        <f>Data!Y77</f>
        <v>G9TS3SP11T1D</v>
      </c>
      <c r="U76" s="18" t="str">
        <f>Data!Z77</f>
        <v>MWR962</v>
      </c>
      <c r="V76" s="18">
        <f>Data!AA77</f>
        <v>0</v>
      </c>
      <c r="W76" s="18" t="str">
        <f>Data!AD77</f>
        <v>MPBUMFF50LX272016</v>
      </c>
      <c r="X76" s="18" t="str">
        <f>Data!AF77</f>
        <v>Pacific/Auckland</v>
      </c>
      <c r="Y76" s="24" t="str">
        <f>IF(ISBLANK(Data!AG77),"",Data!AG77)</f>
        <v>Ford Ranger 2020 4x2 XLT D/C W/S</v>
      </c>
      <c r="Z76" s="18" t="str">
        <f>Data!AL77</f>
        <v>OK</v>
      </c>
      <c r="AA76" s="22">
        <f>Data!AH77</f>
        <v>45975.657399305557</v>
      </c>
      <c r="AB76" s="22">
        <f>IF(ISBLANK(Data!AI77),"",Data!AI77)</f>
        <v>45975.846380787036</v>
      </c>
    </row>
    <row r="77" spans="1:28">
      <c r="A77" s="18" t="str">
        <f>Data!A78</f>
        <v>514</v>
      </c>
      <c r="B77" s="18" t="str">
        <f>Data!C78</f>
        <v>Light Diesel Vehicles, Diesel, LDV/Trade Staff, Trade Staff</v>
      </c>
      <c r="C77" s="18" t="str">
        <f>Data!B78</f>
        <v>bD8</v>
      </c>
      <c r="D77" s="18" t="str">
        <f>Data!F78</f>
        <v>Luke</v>
      </c>
      <c r="E77" s="18" t="str">
        <f>Data!G78</f>
        <v>Ryder</v>
      </c>
      <c r="F77" s="18" t="str">
        <f>Data!H78</f>
        <v>luke.ryder</v>
      </c>
      <c r="G77" s="18" t="str">
        <f>Data!I78</f>
        <v>Standard Hours</v>
      </c>
      <c r="H77" s="18" t="str">
        <f>Data!K78</f>
        <v>Stopped</v>
      </c>
      <c r="I77" s="18" t="b">
        <f>Data!L78</f>
        <v>0</v>
      </c>
      <c r="J77" s="19" t="str">
        <f>Data!N78</f>
        <v>629C Owhiwa Road, Parua Bay 0192, New Zealand</v>
      </c>
      <c r="K77" s="19">
        <f>Data!O78</f>
        <v>0</v>
      </c>
      <c r="L77" s="20">
        <f>Data!Q78</f>
        <v>151222</v>
      </c>
      <c r="M77" s="21">
        <f>Data!R78</f>
        <v>11.177892581018519</v>
      </c>
      <c r="N77" s="22">
        <f>Data!S78</f>
        <v>45711.908192777781</v>
      </c>
      <c r="O77" s="22">
        <f>Data!T78</f>
        <v>54789.541666666664</v>
      </c>
      <c r="P77" s="23" t="b">
        <f>OR(Data!$B$2&lt;Data!S78,Data!$B$2&gt;Data!T78)</f>
        <v>0</v>
      </c>
      <c r="Q77" s="23" t="str">
        <f>Data!J78</f>
        <v>GO Mode,Garmin,HOS,Iridium,UI</v>
      </c>
      <c r="R77" s="18" t="str">
        <f>Data!U78</f>
        <v>Version 9</v>
      </c>
      <c r="S77" s="18" t="str">
        <f>CONCATENATE(Data!V78,".",Data!W78,".",Data!X78)</f>
        <v>120.42.57</v>
      </c>
      <c r="T77" s="18" t="str">
        <f>Data!Y78</f>
        <v>G97VUAAMVVMW</v>
      </c>
      <c r="U77" s="18" t="str">
        <f>Data!Z78</f>
        <v>LFW259</v>
      </c>
      <c r="V77" s="18">
        <f>Data!AA78</f>
        <v>0</v>
      </c>
      <c r="W77" s="18" t="str">
        <f>Data!AD78</f>
        <v>MM0UR0YG100819478</v>
      </c>
      <c r="X77" s="18" t="str">
        <f>Data!AF78</f>
        <v>Pacific/Auckland</v>
      </c>
      <c r="Y77" s="24" t="str">
        <f>IF(ISBLANK(Data!AG78),"",Data!AG78)</f>
        <v>Mazda BT-50 2018 4x2 GLX Cabplus F/D</v>
      </c>
      <c r="Z77" s="18" t="str">
        <f>Data!AL78</f>
        <v>OK</v>
      </c>
      <c r="AA77" s="22">
        <f>Data!AH78</f>
        <v>45975.641076030093</v>
      </c>
      <c r="AB77" s="22">
        <f>IF(ISBLANK(Data!AI78),"",Data!AI78)</f>
        <v>45975.850960289354</v>
      </c>
    </row>
    <row r="78" spans="1:28">
      <c r="A78" s="18" t="str">
        <f>Data!A79</f>
        <v>515</v>
      </c>
      <c r="B78" s="18" t="str">
        <f>Data!C79</f>
        <v>Light Diesel Vehicles, Diesel, LDV/Supervisor, Supervisor</v>
      </c>
      <c r="C78" s="18" t="str">
        <f>Data!B79</f>
        <v>b195</v>
      </c>
      <c r="D78" s="18" t="str">
        <f>Data!F79</f>
        <v>Daniel</v>
      </c>
      <c r="E78" s="18" t="str">
        <f>Data!G79</f>
        <v>Hemara</v>
      </c>
      <c r="F78" s="18" t="str">
        <f>Data!H79</f>
        <v>daniel.hemara@unitedcivil.co.nz</v>
      </c>
      <c r="G78" s="18" t="str">
        <f>Data!I79</f>
        <v>Standard Hours</v>
      </c>
      <c r="H78" s="18" t="str">
        <f>Data!K79</f>
        <v>Stopped</v>
      </c>
      <c r="I78" s="18" t="b">
        <f>Data!L79</f>
        <v>0</v>
      </c>
      <c r="J78" s="19" t="str">
        <f>Data!N79</f>
        <v>27 Kaitara Lane, Kaiwaka 0573, New Zealand</v>
      </c>
      <c r="K78" s="19">
        <f>Data!O79</f>
        <v>0</v>
      </c>
      <c r="L78" s="20">
        <f>Data!Q79</f>
        <v>143570</v>
      </c>
      <c r="M78" s="21">
        <f>Data!R79</f>
        <v>115.58333335648148</v>
      </c>
      <c r="N78" s="22">
        <f>Data!S79</f>
        <v>45782.950747210649</v>
      </c>
      <c r="O78" s="22">
        <f>Data!T79</f>
        <v>54789.541666666664</v>
      </c>
      <c r="P78" s="23" t="b">
        <f>OR(Data!$B$2&lt;Data!S79,Data!$B$2&gt;Data!T79)</f>
        <v>0</v>
      </c>
      <c r="Q78" s="23" t="str">
        <f>Data!J79</f>
        <v>GO Mode,Garmin,HOS,Iridium,UI</v>
      </c>
      <c r="R78" s="18" t="str">
        <f>Data!U79</f>
        <v>Version 9</v>
      </c>
      <c r="S78" s="18" t="str">
        <f>CONCATENATE(Data!V79,".",Data!W79,".",Data!X79)</f>
        <v>120.45.22</v>
      </c>
      <c r="T78" s="18" t="str">
        <f>Data!Y79</f>
        <v>G9WYSR3WK6D0</v>
      </c>
      <c r="U78" s="18" t="str">
        <f>Data!Z79</f>
        <v>NAJ997</v>
      </c>
      <c r="V78" s="18">
        <f>Data!AA79</f>
        <v>0</v>
      </c>
      <c r="W78" s="18" t="str">
        <f>Data!AD79</f>
        <v>MPBUMFF50LX278476</v>
      </c>
      <c r="X78" s="18" t="str">
        <f>Data!AF79</f>
        <v>Pacific/Auckland</v>
      </c>
      <c r="Y78" s="24" t="str">
        <f>IF(ISBLANK(Data!AG79),"",Data!AG79)</f>
        <v>Ford Ranger 2020 4x4 XLT D/C W/S</v>
      </c>
      <c r="Z78" s="18" t="str">
        <f>Data!AL79</f>
        <v>OK</v>
      </c>
      <c r="AA78" s="22">
        <f>Data!AH79</f>
        <v>45975.758338912034</v>
      </c>
      <c r="AB78" s="22">
        <f>IF(ISBLANK(Data!AI79),"",Data!AI79)</f>
        <v>45975.843211597225</v>
      </c>
    </row>
    <row r="79" spans="1:28">
      <c r="A79" s="18" t="str">
        <f>Data!A80</f>
        <v>516</v>
      </c>
      <c r="B79" s="18" t="str">
        <f>Data!C80</f>
        <v>Light Petrol Vehicles, Gasoline or Petrol, LPV/PM, Other Management</v>
      </c>
      <c r="C79" s="18" t="str">
        <f>Data!B80</f>
        <v>bCB</v>
      </c>
      <c r="D79" s="18" t="str">
        <f>Data!F80</f>
        <v>Zain</v>
      </c>
      <c r="E79" s="18" t="str">
        <f>Data!G80</f>
        <v>Kader</v>
      </c>
      <c r="F79" s="18" t="str">
        <f>Data!H80</f>
        <v>zain.kader@unitedcivil.co.nz</v>
      </c>
      <c r="G79" s="18" t="str">
        <f>Data!I80</f>
        <v>Standard Hours</v>
      </c>
      <c r="H79" s="18" t="str">
        <f>Data!K80</f>
        <v>Stopped</v>
      </c>
      <c r="I79" s="18" t="b">
        <f>Data!L80</f>
        <v>0</v>
      </c>
      <c r="J79" s="19" t="str">
        <f>Data!N80</f>
        <v>14 Pataua Street, Pataua South 0192, New Zealand</v>
      </c>
      <c r="K79" s="19">
        <f>Data!O80</f>
        <v>0</v>
      </c>
      <c r="L79" s="20">
        <f>Data!Q80</f>
        <v>102142</v>
      </c>
      <c r="M79" s="21">
        <f>Data!R80</f>
        <v>6.5402584490740745</v>
      </c>
      <c r="N79" s="22">
        <f>Data!S80</f>
        <v>45711.899434027779</v>
      </c>
      <c r="O79" s="22">
        <f>Data!T80</f>
        <v>54789.541666666664</v>
      </c>
      <c r="P79" s="23" t="b">
        <f>OR(Data!$B$2&lt;Data!S80,Data!$B$2&gt;Data!T80)</f>
        <v>0</v>
      </c>
      <c r="Q79" s="23" t="str">
        <f>Data!J80</f>
        <v>GO Mode,Garmin,HOS,Iridium,UI</v>
      </c>
      <c r="R79" s="18" t="str">
        <f>Data!U80</f>
        <v>Version 9</v>
      </c>
      <c r="S79" s="18" t="str">
        <f>CONCATENATE(Data!V80,".",Data!W80,".",Data!X80)</f>
        <v>120.42.57</v>
      </c>
      <c r="T79" s="18" t="str">
        <f>Data!Y80</f>
        <v>G952211A6C07</v>
      </c>
      <c r="U79" s="18" t="str">
        <f>Data!Z80</f>
        <v>NHQ894</v>
      </c>
      <c r="V79" s="18">
        <f>Data!AA80</f>
        <v>0</v>
      </c>
      <c r="W79" s="18" t="str">
        <f>Data!AD80</f>
        <v>JTDBB3BE40J034224</v>
      </c>
      <c r="X79" s="18" t="str">
        <f>Data!AF80</f>
        <v>Pacific/Auckland</v>
      </c>
      <c r="Y79" s="24" t="str">
        <f>IF(ISBLANK(Data!AG80),"",Data!AG80)</f>
        <v>Toyota Corolla 2020 SX Hybrid</v>
      </c>
      <c r="Z79" s="18" t="str">
        <f>Data!AL80</f>
        <v>OK</v>
      </c>
      <c r="AA79" s="22">
        <f>Data!AH80</f>
        <v>45975.754423923609</v>
      </c>
      <c r="AB79" s="22">
        <f>IF(ISBLANK(Data!AI80),"",Data!AI80)</f>
        <v>45975.859991053243</v>
      </c>
    </row>
    <row r="80" spans="1:28">
      <c r="A80" s="18" t="str">
        <f>Data!A81</f>
        <v>517</v>
      </c>
      <c r="B80" s="18" t="str">
        <f>Data!C81</f>
        <v>Light Diesel Vehicles, Diesel, LDV/PM, PM</v>
      </c>
      <c r="C80" s="18" t="str">
        <f>Data!B81</f>
        <v>bE3</v>
      </c>
      <c r="D80" s="18" t="str">
        <f>Data!F81</f>
        <v>Gerrie</v>
      </c>
      <c r="E80" s="18" t="str">
        <f>Data!G81</f>
        <v>Van Der Linde</v>
      </c>
      <c r="F80" s="18" t="str">
        <f>Data!H81</f>
        <v>gerrie.vanderlinde@unitedcivil.co.nz</v>
      </c>
      <c r="G80" s="18" t="str">
        <f>Data!I81</f>
        <v>Standard Hours</v>
      </c>
      <c r="H80" s="18" t="str">
        <f>Data!K81</f>
        <v>Stopped</v>
      </c>
      <c r="I80" s="18" t="b">
        <f>Data!L81</f>
        <v>0</v>
      </c>
      <c r="J80" s="19" t="str">
        <f>Data!N81</f>
        <v>67 Monk Road, Mangapai 0178, New Zealand</v>
      </c>
      <c r="K80" s="19">
        <f>Data!O81</f>
        <v>0</v>
      </c>
      <c r="L80" s="20">
        <f>Data!Q81</f>
        <v>99256.8984375</v>
      </c>
      <c r="M80" s="21">
        <f>Data!R81</f>
        <v>93.070833344907413</v>
      </c>
      <c r="N80" s="22">
        <f>Data!S81</f>
        <v>45712.513066273146</v>
      </c>
      <c r="O80" s="22">
        <f>Data!T81</f>
        <v>54789.541666666664</v>
      </c>
      <c r="P80" s="23" t="b">
        <f>OR(Data!$B$2&lt;Data!S81,Data!$B$2&gt;Data!T81)</f>
        <v>0</v>
      </c>
      <c r="Q80" s="23" t="str">
        <f>Data!J81</f>
        <v>GO Mode,Garmin,HOS,Iridium,UI</v>
      </c>
      <c r="R80" s="18" t="str">
        <f>Data!U81</f>
        <v>Version 9</v>
      </c>
      <c r="S80" s="18" t="str">
        <f>CONCATENATE(Data!V81,".",Data!W81,".",Data!X81)</f>
        <v>120.42.57</v>
      </c>
      <c r="T80" s="18" t="str">
        <f>Data!Y81</f>
        <v>G920XKB3ZWES</v>
      </c>
      <c r="U80" s="18" t="str">
        <f>Data!Z81</f>
        <v>NNM799</v>
      </c>
      <c r="V80" s="18">
        <f>Data!AA81</f>
        <v>0</v>
      </c>
      <c r="W80" s="18" t="str">
        <f>Data!AD81</f>
        <v>MPBUMFF60MX340967</v>
      </c>
      <c r="X80" s="18" t="str">
        <f>Data!AF81</f>
        <v>Pacific/Auckland</v>
      </c>
      <c r="Y80" s="24" t="str">
        <f>IF(ISBLANK(Data!AG81),"",Data!AG81)</f>
        <v>Ford Ranger 2021 4x2 XLT D/C W/S</v>
      </c>
      <c r="Z80" s="18" t="str">
        <f>Data!AL81</f>
        <v>OK</v>
      </c>
      <c r="AA80" s="22">
        <f>Data!AH81</f>
        <v>45975.691230069446</v>
      </c>
      <c r="AB80" s="22">
        <f>IF(ISBLANK(Data!AI81),"",Data!AI81)</f>
        <v>45975.859389791665</v>
      </c>
    </row>
    <row r="81" spans="1:28">
      <c r="A81" s="18" t="str">
        <f>Data!A82</f>
        <v>518</v>
      </c>
      <c r="B81" s="18" t="str">
        <f>Data!C82</f>
        <v>Light Diesel Vehicles, Diesel, LDV/PM, PM</v>
      </c>
      <c r="C81" s="18" t="str">
        <f>Data!B82</f>
        <v>bDA</v>
      </c>
      <c r="D81" s="18" t="str">
        <f>Data!F82</f>
        <v>Peter</v>
      </c>
      <c r="E81" s="18" t="str">
        <f>Data!G82</f>
        <v>Hughes</v>
      </c>
      <c r="F81" s="18" t="str">
        <f>Data!H82</f>
        <v>peter.hughes@unitedcivil.co.nz</v>
      </c>
      <c r="G81" s="18" t="str">
        <f>Data!I82</f>
        <v>Standard Hours</v>
      </c>
      <c r="H81" s="18" t="str">
        <f>Data!K82</f>
        <v>Stopped</v>
      </c>
      <c r="I81" s="18" t="b">
        <f>Data!L82</f>
        <v>0</v>
      </c>
      <c r="J81" s="19" t="str">
        <f>Data!N82</f>
        <v>45A Landowners Lane, Whangarei 0173, New Zealand</v>
      </c>
      <c r="K81" s="19">
        <f>Data!O82</f>
        <v>0</v>
      </c>
      <c r="L81" s="20">
        <f>Data!Q82</f>
        <v>108708.203125</v>
      </c>
      <c r="M81" s="21">
        <f>Data!R82</f>
        <v>86.69583336805556</v>
      </c>
      <c r="N81" s="22">
        <f>Data!S82</f>
        <v>45711.909266655093</v>
      </c>
      <c r="O81" s="22">
        <f>Data!T82</f>
        <v>54789.541666666664</v>
      </c>
      <c r="P81" s="23" t="b">
        <f>OR(Data!$B$2&lt;Data!S82,Data!$B$2&gt;Data!T82)</f>
        <v>0</v>
      </c>
      <c r="Q81" s="23" t="str">
        <f>Data!J82</f>
        <v>GO Mode,Garmin,HOS,Iridium,UI</v>
      </c>
      <c r="R81" s="18" t="str">
        <f>Data!U82</f>
        <v>Version 9</v>
      </c>
      <c r="S81" s="18" t="str">
        <f>CONCATENATE(Data!V82,".",Data!W82,".",Data!X82)</f>
        <v>120.42.59</v>
      </c>
      <c r="T81" s="18" t="str">
        <f>Data!Y82</f>
        <v>G96TN5TW4ZSF</v>
      </c>
      <c r="U81" s="18" t="str">
        <f>Data!Z82</f>
        <v>NQS995</v>
      </c>
      <c r="V81" s="18">
        <f>Data!AA82</f>
        <v>0</v>
      </c>
      <c r="W81" s="18" t="str">
        <f>Data!AD82</f>
        <v>MNAUMFF60MW168810</v>
      </c>
      <c r="X81" s="18" t="str">
        <f>Data!AF82</f>
        <v>Pacific/Auckland</v>
      </c>
      <c r="Y81" s="24" t="str">
        <f>IF(ISBLANK(Data!AG82),"",Data!AG82)</f>
        <v>Ford Ranger 2021 4x2 XLT D/C W/S</v>
      </c>
      <c r="Z81" s="18" t="str">
        <f>Data!AL82</f>
        <v>OK</v>
      </c>
      <c r="AA81" s="22">
        <f>Data!AH82</f>
        <v>45971.334007013887</v>
      </c>
      <c r="AB81" s="22">
        <f>IF(ISBLANK(Data!AI82),"",Data!AI82)</f>
        <v>45975.853914421299</v>
      </c>
    </row>
    <row r="82" spans="1:28">
      <c r="A82" s="18" t="str">
        <f>Data!A83</f>
        <v>519</v>
      </c>
      <c r="B82" s="18" t="str">
        <f>Data!C83</f>
        <v>Light Diesel Vehicles, Diesel, LDV/PM, PM</v>
      </c>
      <c r="C82" s="18" t="str">
        <f>Data!B83</f>
        <v>bB2</v>
      </c>
      <c r="D82" s="18" t="str">
        <f>Data!F83</f>
        <v>Wayne</v>
      </c>
      <c r="E82" s="18" t="str">
        <f>Data!G83</f>
        <v>Pepperell</v>
      </c>
      <c r="F82" s="18" t="str">
        <f>Data!H83</f>
        <v>wayne.pepperell@unitedcivil.co.nz</v>
      </c>
      <c r="G82" s="18" t="str">
        <f>Data!I83</f>
        <v>Standard Hours</v>
      </c>
      <c r="H82" s="18" t="str">
        <f>Data!K83</f>
        <v>Stopped</v>
      </c>
      <c r="I82" s="18" t="b">
        <f>Data!L83</f>
        <v>0</v>
      </c>
      <c r="J82" s="19" t="str">
        <f>Data!N83</f>
        <v>24 Angus Lane, Te Kamo, Whangārei 0112, New Zealand</v>
      </c>
      <c r="K82" s="19">
        <f>Data!O83</f>
        <v>0</v>
      </c>
      <c r="L82" s="20">
        <f>Data!Q83</f>
        <v>141324.59375</v>
      </c>
      <c r="M82" s="21">
        <f>Data!R83</f>
        <v>115.12500001157407</v>
      </c>
      <c r="N82" s="22">
        <f>Data!S83</f>
        <v>45693.651980023147</v>
      </c>
      <c r="O82" s="22">
        <f>Data!T83</f>
        <v>54789.541666666664</v>
      </c>
      <c r="P82" s="23" t="b">
        <f>OR(Data!$B$2&lt;Data!S83,Data!$B$2&gt;Data!T83)</f>
        <v>0</v>
      </c>
      <c r="Q82" s="23" t="str">
        <f>Data!J83</f>
        <v>GO Mode,Garmin,HOS,Iridium,UI</v>
      </c>
      <c r="R82" s="18" t="str">
        <f>Data!U83</f>
        <v>Version 9</v>
      </c>
      <c r="S82" s="18" t="str">
        <f>CONCATENATE(Data!V83,".",Data!W83,".",Data!X83)</f>
        <v>120.42.59</v>
      </c>
      <c r="T82" s="18" t="str">
        <f>Data!Y83</f>
        <v>G9SN0M1FNC3B</v>
      </c>
      <c r="U82" s="18" t="str">
        <f>Data!Z83</f>
        <v>NQS996</v>
      </c>
      <c r="V82" s="18">
        <f>Data!AA83</f>
        <v>0</v>
      </c>
      <c r="W82" s="18" t="str">
        <f>Data!AD83</f>
        <v>MNAUMFF60MW168796</v>
      </c>
      <c r="X82" s="18" t="str">
        <f>Data!AF83</f>
        <v>Pacific/Auckland</v>
      </c>
      <c r="Y82" s="24" t="str">
        <f>IF(ISBLANK(Data!AG83),"",Data!AG83)</f>
        <v>Ford Ranger 2021 4x2 XLT D/C W/S</v>
      </c>
      <c r="Z82" s="18" t="str">
        <f>Data!AL83</f>
        <v>OK</v>
      </c>
      <c r="AA82" s="22">
        <f>Data!AH83</f>
        <v>45975.731946817126</v>
      </c>
      <c r="AB82" s="22">
        <f>IF(ISBLANK(Data!AI83),"",Data!AI83)</f>
        <v>45975.858416724535</v>
      </c>
    </row>
    <row r="83" spans="1:28">
      <c r="A83" s="18" t="str">
        <f>Data!A84</f>
        <v>520</v>
      </c>
      <c r="B83" s="18" t="str">
        <f>Data!C84</f>
        <v>Light Diesel Vehicles, LDV/Other Management, Other Management</v>
      </c>
      <c r="C83" s="18" t="str">
        <f>Data!B84</f>
        <v>b1C3</v>
      </c>
      <c r="D83" s="18">
        <f>Data!F84</f>
        <v>0</v>
      </c>
      <c r="E83" s="18">
        <f>Data!G84</f>
        <v>0</v>
      </c>
      <c r="F83" s="18">
        <f>Data!H84</f>
        <v>0</v>
      </c>
      <c r="G83" s="18" t="str">
        <f>Data!I84</f>
        <v>Standard Hours</v>
      </c>
      <c r="H83" s="18">
        <f>Data!K84</f>
        <v>0</v>
      </c>
      <c r="I83" s="18" t="b">
        <f>Data!L84</f>
        <v>0</v>
      </c>
      <c r="J83" s="19">
        <f>Data!N84</f>
        <v>0</v>
      </c>
      <c r="K83" s="19">
        <f>Data!O84</f>
        <v>0</v>
      </c>
      <c r="L83" s="20">
        <f>Data!Q84</f>
        <v>120308</v>
      </c>
      <c r="M83" s="21">
        <f>Data!R84</f>
        <v>0</v>
      </c>
      <c r="N83" s="22">
        <f>Data!S84</f>
        <v>45805.519464027777</v>
      </c>
      <c r="O83" s="22">
        <f>Data!T84</f>
        <v>54789.541666666664</v>
      </c>
      <c r="P83" s="23" t="b">
        <f>OR(Data!$B$2&lt;Data!S84,Data!$B$2&gt;Data!T84)</f>
        <v>0</v>
      </c>
      <c r="Q83" s="23">
        <f>Data!J84</f>
        <v>0</v>
      </c>
      <c r="R83" s="18" t="str">
        <f>Data!U84</f>
        <v>None</v>
      </c>
      <c r="S83" s="18" t="str">
        <f>CONCATENATE(Data!V84,".",Data!W84,".",Data!X84)</f>
        <v>-1..</v>
      </c>
      <c r="T83" s="18">
        <f>Data!Y84</f>
        <v>0</v>
      </c>
      <c r="U83" s="18" t="str">
        <f>Data!Z84</f>
        <v>NRJ849</v>
      </c>
      <c r="V83" s="18">
        <f>Data!AA84</f>
        <v>0</v>
      </c>
      <c r="W83" s="18" t="str">
        <f>Data!AD84</f>
        <v>MNAUMFF60MW170095</v>
      </c>
      <c r="X83" s="18" t="str">
        <f>Data!AF84</f>
        <v>UTC</v>
      </c>
      <c r="Y83" s="24" t="str">
        <f>IF(ISBLANK(Data!AG84),"",Data!AG84)</f>
        <v>Ford Ranger 2021 4x4 XLT DC WS</v>
      </c>
      <c r="Z83" s="18">
        <f>Data!AL84</f>
        <v>0</v>
      </c>
      <c r="AA83" s="22">
        <f>Data!AH84</f>
        <v>0</v>
      </c>
      <c r="AB83" s="22" t="str">
        <f>IF(ISBLANK(Data!AI84),"",Data!AI84)</f>
        <v/>
      </c>
    </row>
    <row r="84" spans="1:28">
      <c r="A84" s="18" t="str">
        <f>Data!A85</f>
        <v>521</v>
      </c>
      <c r="B84" s="18" t="str">
        <f>Data!C85</f>
        <v>Light Diesel Vehicles, Diesel, LDV/PE, Other Management</v>
      </c>
      <c r="C84" s="18" t="str">
        <f>Data!B85</f>
        <v>bE2</v>
      </c>
      <c r="D84" s="18" t="str">
        <f>Data!F85</f>
        <v>James</v>
      </c>
      <c r="E84" s="18" t="str">
        <f>Data!G85</f>
        <v>McCarthy</v>
      </c>
      <c r="F84" s="18" t="str">
        <f>Data!H85</f>
        <v>james.mccarthy@unitedcivil.co.nz</v>
      </c>
      <c r="G84" s="18" t="str">
        <f>Data!I85</f>
        <v>Standard Hours</v>
      </c>
      <c r="H84" s="18" t="str">
        <f>Data!K85</f>
        <v>Stopped</v>
      </c>
      <c r="I84" s="18" t="b">
        <f>Data!L85</f>
        <v>0</v>
      </c>
      <c r="J84" s="19" t="str">
        <f>Data!N85</f>
        <v>586 Swamp Road, Puketapu 4183, New Zealand</v>
      </c>
      <c r="K84" s="19">
        <f>Data!O85</f>
        <v>0</v>
      </c>
      <c r="L84" s="20">
        <f>Data!Q85</f>
        <v>153736.59375</v>
      </c>
      <c r="M84" s="21">
        <f>Data!R85</f>
        <v>112.66249999999999</v>
      </c>
      <c r="N84" s="22">
        <f>Data!S85</f>
        <v>45712.512106817128</v>
      </c>
      <c r="O84" s="22">
        <f>Data!T85</f>
        <v>54789.541666666664</v>
      </c>
      <c r="P84" s="23" t="b">
        <f>OR(Data!$B$2&lt;Data!S85,Data!$B$2&gt;Data!T85)</f>
        <v>0</v>
      </c>
      <c r="Q84" s="23" t="str">
        <f>Data!J85</f>
        <v>GO Mode,Garmin,HOS,Iridium,UI</v>
      </c>
      <c r="R84" s="18" t="str">
        <f>Data!U85</f>
        <v>Version 9</v>
      </c>
      <c r="S84" s="18" t="str">
        <f>CONCATENATE(Data!V85,".",Data!W85,".",Data!X85)</f>
        <v>120.42.57</v>
      </c>
      <c r="T84" s="18" t="str">
        <f>Data!Y85</f>
        <v>G9W8T5W5TJBH</v>
      </c>
      <c r="U84" s="18" t="str">
        <f>Data!Z85</f>
        <v>NRJ851</v>
      </c>
      <c r="V84" s="18">
        <f>Data!AA85</f>
        <v>0</v>
      </c>
      <c r="W84" s="18" t="str">
        <f>Data!AD85</f>
        <v>MNAUMFF60MW170096</v>
      </c>
      <c r="X84" s="18" t="str">
        <f>Data!AF85</f>
        <v>Pacific/Auckland</v>
      </c>
      <c r="Y84" s="24" t="str">
        <f>IF(ISBLANK(Data!AG85),"",Data!AG85)</f>
        <v>Ford Ranger 2021 4x4 XLT D/C W/S</v>
      </c>
      <c r="Z84" s="18" t="str">
        <f>Data!AL85</f>
        <v>OK</v>
      </c>
      <c r="AA84" s="22">
        <f>Data!AH85</f>
        <v>45975.781138472223</v>
      </c>
      <c r="AB84" s="22">
        <f>IF(ISBLANK(Data!AI85),"",Data!AI85)</f>
        <v>45975.845131527778</v>
      </c>
    </row>
    <row r="85" spans="1:28">
      <c r="A85" s="18" t="str">
        <f>Data!A86</f>
        <v>522</v>
      </c>
      <c r="B85" s="18" t="str">
        <f>Data!C86</f>
        <v>Light Diesel Vehicles, Diesel, LDV/PE, PE</v>
      </c>
      <c r="C85" s="18" t="str">
        <f>Data!B86</f>
        <v>b182</v>
      </c>
      <c r="D85" s="18" t="str">
        <f>Data!F86</f>
        <v>Nick</v>
      </c>
      <c r="E85" s="18" t="str">
        <f>Data!G86</f>
        <v>Ashurst</v>
      </c>
      <c r="F85" s="18" t="str">
        <f>Data!H86</f>
        <v>nick.ashurst@unitedcivil.co.nz</v>
      </c>
      <c r="G85" s="18" t="str">
        <f>Data!I86</f>
        <v>Standard Hours</v>
      </c>
      <c r="H85" s="18" t="str">
        <f>Data!K86</f>
        <v>Stopped</v>
      </c>
      <c r="I85" s="18" t="b">
        <f>Data!L86</f>
        <v>0</v>
      </c>
      <c r="J85" s="19" t="str">
        <f>Data!N86</f>
        <v>United Civil Head Office: 19B Rewa Rewa Road, Raumanga, Whangārei 0110, New Zealand</v>
      </c>
      <c r="K85" s="19" t="str">
        <f>Data!O86</f>
        <v>Office Zone</v>
      </c>
      <c r="L85" s="20">
        <f>Data!Q86</f>
        <v>96140.203125</v>
      </c>
      <c r="M85" s="21">
        <f>Data!R86</f>
        <v>69.312500023148147</v>
      </c>
      <c r="N85" s="22">
        <f>Data!S86</f>
        <v>45782.951221504627</v>
      </c>
      <c r="O85" s="22">
        <f>Data!T86</f>
        <v>54789.541666666664</v>
      </c>
      <c r="P85" s="23" t="b">
        <f>OR(Data!$B$2&lt;Data!S86,Data!$B$2&gt;Data!T86)</f>
        <v>0</v>
      </c>
      <c r="Q85" s="23" t="str">
        <f>Data!J86</f>
        <v>GO Mode,Garmin,HOS,Iridium,UI</v>
      </c>
      <c r="R85" s="18" t="str">
        <f>Data!U86</f>
        <v>Version 9</v>
      </c>
      <c r="S85" s="18" t="str">
        <f>CONCATENATE(Data!V86,".",Data!W86,".",Data!X86)</f>
        <v>120.45.22</v>
      </c>
      <c r="T85" s="18" t="str">
        <f>Data!Y86</f>
        <v>G959RDZP1H3W</v>
      </c>
      <c r="U85" s="18" t="str">
        <f>Data!Z86</f>
        <v>NSR530</v>
      </c>
      <c r="V85" s="18">
        <f>Data!AA86</f>
        <v>0</v>
      </c>
      <c r="W85" s="18" t="str">
        <f>Data!AD86</f>
        <v>MNAUMFF60MW176931</v>
      </c>
      <c r="X85" s="18" t="str">
        <f>Data!AF86</f>
        <v>Pacific/Auckland</v>
      </c>
      <c r="Y85" s="24" t="str">
        <f>IF(ISBLANK(Data!AG86),"",Data!AG86)</f>
        <v>Ford Ranger 2021 4x2 XLT D/C W/S</v>
      </c>
      <c r="Z85" s="18" t="str">
        <f>Data!AL86</f>
        <v>OK</v>
      </c>
      <c r="AA85" s="22">
        <f>Data!AH86</f>
        <v>45975.785607210652</v>
      </c>
      <c r="AB85" s="22">
        <f>IF(ISBLANK(Data!AI86),"",Data!AI86)</f>
        <v>45975.849611840276</v>
      </c>
    </row>
    <row r="86" spans="1:28">
      <c r="A86" s="18" t="str">
        <f>Data!A87</f>
        <v>523</v>
      </c>
      <c r="B86" s="18" t="str">
        <f>Data!C87</f>
        <v>Light Diesel Vehicles, Diesel, LDV/PE, PE</v>
      </c>
      <c r="C86" s="18" t="str">
        <f>Data!B87</f>
        <v>bD2</v>
      </c>
      <c r="D86" s="18" t="str">
        <f>Data!F87</f>
        <v>Iri</v>
      </c>
      <c r="E86" s="18" t="str">
        <f>Data!G87</f>
        <v>Ritchie</v>
      </c>
      <c r="F86" s="18" t="str">
        <f>Data!H87</f>
        <v>iri.ritchie@unitedcivil.co.nz</v>
      </c>
      <c r="G86" s="18" t="str">
        <f>Data!I87</f>
        <v>Standard Hours</v>
      </c>
      <c r="H86" s="18" t="str">
        <f>Data!K87</f>
        <v>Stopped</v>
      </c>
      <c r="I86" s="18" t="b">
        <f>Data!L87</f>
        <v>0</v>
      </c>
      <c r="J86" s="19" t="str">
        <f>Data!N87</f>
        <v>1294 Taihape Road, Sherenden 4179, New Zealand</v>
      </c>
      <c r="K86" s="19">
        <f>Data!O87</f>
        <v>0</v>
      </c>
      <c r="L86" s="20">
        <f>Data!Q87</f>
        <v>95485.5</v>
      </c>
      <c r="M86" s="21">
        <f>Data!R87</f>
        <v>70.55833334490741</v>
      </c>
      <c r="N86" s="22">
        <f>Data!S87</f>
        <v>45711.904818263887</v>
      </c>
      <c r="O86" s="22">
        <f>Data!T87</f>
        <v>54789.541666666664</v>
      </c>
      <c r="P86" s="23" t="b">
        <f>OR(Data!$B$2&lt;Data!S87,Data!$B$2&gt;Data!T87)</f>
        <v>0</v>
      </c>
      <c r="Q86" s="23" t="str">
        <f>Data!J87</f>
        <v>GO Mode,Garmin,HOS,Iridium,UI</v>
      </c>
      <c r="R86" s="18" t="str">
        <f>Data!U87</f>
        <v>Version 9</v>
      </c>
      <c r="S86" s="18" t="str">
        <f>CONCATENATE(Data!V87,".",Data!W87,".",Data!X87)</f>
        <v>120.42.57</v>
      </c>
      <c r="T86" s="18" t="str">
        <f>Data!Y87</f>
        <v>G9317WZB9RM4</v>
      </c>
      <c r="U86" s="18" t="str">
        <f>Data!Z87</f>
        <v>NSR531</v>
      </c>
      <c r="V86" s="18">
        <f>Data!AA87</f>
        <v>0</v>
      </c>
      <c r="W86" s="18" t="str">
        <f>Data!AD87</f>
        <v>MNAUMFF60MW176935</v>
      </c>
      <c r="X86" s="18" t="str">
        <f>Data!AF87</f>
        <v>Pacific/Auckland</v>
      </c>
      <c r="Y86" s="24" t="str">
        <f>IF(ISBLANK(Data!AG87),"",Data!AG87)</f>
        <v>Ford Ranger 2021 4x2 XLT D/C W/S</v>
      </c>
      <c r="Z86" s="18" t="str">
        <f>Data!AL87</f>
        <v>OK</v>
      </c>
      <c r="AA86" s="22">
        <f>Data!AH87</f>
        <v>45975.680034583333</v>
      </c>
      <c r="AB86" s="22">
        <f>IF(ISBLANK(Data!AI87),"",Data!AI87)</f>
        <v>45975.848587824075</v>
      </c>
    </row>
    <row r="87" spans="1:28">
      <c r="A87" s="18" t="str">
        <f>Data!A88</f>
        <v>524</v>
      </c>
      <c r="B87" s="18" t="str">
        <f>Data!C88</f>
        <v>Light Diesel Vehicles, Diesel, LDV/Trade Staff, Trade Staff</v>
      </c>
      <c r="C87" s="18" t="str">
        <f>Data!B88</f>
        <v>bF9</v>
      </c>
      <c r="D87" s="18">
        <f>Data!F88</f>
        <v>0</v>
      </c>
      <c r="E87" s="18">
        <f>Data!G88</f>
        <v>0</v>
      </c>
      <c r="F87" s="18">
        <f>Data!H88</f>
        <v>0</v>
      </c>
      <c r="G87" s="18" t="str">
        <f>Data!I88</f>
        <v>Standard Hours</v>
      </c>
      <c r="H87" s="18" t="str">
        <f>Data!K88</f>
        <v>Stopped</v>
      </c>
      <c r="I87" s="18" t="b">
        <f>Data!L88</f>
        <v>0</v>
      </c>
      <c r="J87" s="19" t="str">
        <f>Data!N88</f>
        <v>28 Waro Drive, Hikurangi 0114, New Zealand</v>
      </c>
      <c r="K87" s="19">
        <f>Data!O88</f>
        <v>0</v>
      </c>
      <c r="L87" s="20">
        <f>Data!Q88</f>
        <v>96237.296875</v>
      </c>
      <c r="M87" s="21">
        <f>Data!R88</f>
        <v>10.950197314814815</v>
      </c>
      <c r="N87" s="22">
        <f>Data!S88</f>
        <v>45721.967924988428</v>
      </c>
      <c r="O87" s="22">
        <f>Data!T88</f>
        <v>54789.541666666664</v>
      </c>
      <c r="P87" s="23" t="b">
        <f>OR(Data!$B$2&lt;Data!S88,Data!$B$2&gt;Data!T88)</f>
        <v>0</v>
      </c>
      <c r="Q87" s="23" t="str">
        <f>Data!J88</f>
        <v>GO Mode,Garmin,HOS,Iridium,UI</v>
      </c>
      <c r="R87" s="18" t="str">
        <f>Data!U88</f>
        <v>Version 9</v>
      </c>
      <c r="S87" s="18" t="str">
        <f>CONCATENATE(Data!V88,".",Data!W88,".",Data!X88)</f>
        <v>120.42.57</v>
      </c>
      <c r="T87" s="18" t="str">
        <f>Data!Y88</f>
        <v>G9ZF7YU7WDW7</v>
      </c>
      <c r="U87" s="18" t="str">
        <f>Data!Z88</f>
        <v>NZF473</v>
      </c>
      <c r="V87" s="18">
        <f>Data!AA88</f>
        <v>0</v>
      </c>
      <c r="W87" s="18" t="str">
        <f>Data!AD88</f>
        <v>MR0JA3DD300349509</v>
      </c>
      <c r="X87" s="18" t="str">
        <f>Data!AF88</f>
        <v>Pacific/Auckland</v>
      </c>
      <c r="Y87" s="24" t="str">
        <f>IF(ISBLANK(Data!AG88),"",Data!AG88)</f>
        <v>Toyota Hilux 2022 4x2 SR D/C W/S</v>
      </c>
      <c r="Z87" s="18" t="str">
        <f>Data!AL88</f>
        <v>OK</v>
      </c>
      <c r="AA87" s="22">
        <f>Data!AH88</f>
        <v>45975.703202870369</v>
      </c>
      <c r="AB87" s="22">
        <f>IF(ISBLANK(Data!AI88),"",Data!AI88)</f>
        <v>45975.850274629629</v>
      </c>
    </row>
    <row r="88" spans="1:28">
      <c r="A88" s="18" t="str">
        <f>Data!A89</f>
        <v>525</v>
      </c>
      <c r="B88" s="18" t="str">
        <f>Data!C89</f>
        <v>Light Diesel Vehicles, Diesel, LDV/Trade Staff, Trade Staff</v>
      </c>
      <c r="C88" s="18" t="str">
        <f>Data!B89</f>
        <v>b11A</v>
      </c>
      <c r="D88" s="18">
        <f>Data!F89</f>
        <v>0</v>
      </c>
      <c r="E88" s="18">
        <f>Data!G89</f>
        <v>0</v>
      </c>
      <c r="F88" s="18">
        <f>Data!H89</f>
        <v>0</v>
      </c>
      <c r="G88" s="18" t="str">
        <f>Data!I89</f>
        <v>Standard Hours</v>
      </c>
      <c r="H88" s="18" t="str">
        <f>Data!K89</f>
        <v>Stopped</v>
      </c>
      <c r="I88" s="18" t="b">
        <f>Data!L89</f>
        <v>0</v>
      </c>
      <c r="J88" s="19" t="str">
        <f>Data!N89</f>
        <v>179 Otaika Road, Raumanga, Whangārei 0110, New Zealand</v>
      </c>
      <c r="K88" s="19">
        <f>Data!O89</f>
        <v>0</v>
      </c>
      <c r="L88" s="20">
        <f>Data!Q89</f>
        <v>138673.40625</v>
      </c>
      <c r="M88" s="21">
        <f>Data!R89</f>
        <v>16.241529930555554</v>
      </c>
      <c r="N88" s="22">
        <f>Data!S89</f>
        <v>45807.562369039355</v>
      </c>
      <c r="O88" s="22">
        <f>Data!T89</f>
        <v>54789.541666666664</v>
      </c>
      <c r="P88" s="23" t="b">
        <f>OR(Data!$B$2&lt;Data!S89,Data!$B$2&gt;Data!T89)</f>
        <v>0</v>
      </c>
      <c r="Q88" s="23" t="str">
        <f>Data!J89</f>
        <v>GO Mode,Garmin,HOS,Iridium,UI</v>
      </c>
      <c r="R88" s="18" t="str">
        <f>Data!U89</f>
        <v>Version 9</v>
      </c>
      <c r="S88" s="18" t="str">
        <f>CONCATENATE(Data!V89,".",Data!W89,".",Data!X89)</f>
        <v>120.42.57</v>
      </c>
      <c r="T88" s="18" t="str">
        <f>Data!Y89</f>
        <v>G9A3TKXBWJ41</v>
      </c>
      <c r="U88" s="18" t="str">
        <f>Data!Z89</f>
        <v>NZW104</v>
      </c>
      <c r="V88" s="18">
        <f>Data!AA89</f>
        <v>0</v>
      </c>
      <c r="W88" s="18" t="str">
        <f>Data!AD89</f>
        <v>MR0JA3DD300349526</v>
      </c>
      <c r="X88" s="18" t="str">
        <f>Data!AF89</f>
        <v>Pacific/Auckland</v>
      </c>
      <c r="Y88" s="24" t="str">
        <f>IF(ISBLANK(Data!AG89),"",Data!AG89)</f>
        <v>Toyota Hilux 2022 4x2 SR D/C W/S</v>
      </c>
      <c r="Z88" s="18" t="str">
        <f>Data!AL89</f>
        <v>OK</v>
      </c>
      <c r="AA88" s="22">
        <f>Data!AH89</f>
        <v>45975.85039219907</v>
      </c>
      <c r="AB88" s="22">
        <f>IF(ISBLANK(Data!AI89),"",Data!AI89)</f>
        <v>45975.850658402778</v>
      </c>
    </row>
    <row r="89" spans="1:28">
      <c r="A89" s="18" t="str">
        <f>Data!A90</f>
        <v>526</v>
      </c>
      <c r="B89" s="18" t="str">
        <f>Data!C90</f>
        <v>Light Diesel Vehicles, Diesel, LDV/Supervisor, Supervisor</v>
      </c>
      <c r="C89" s="18" t="str">
        <f>Data!B90</f>
        <v>b188</v>
      </c>
      <c r="D89" s="18" t="str">
        <f>Data!F90</f>
        <v>Mark</v>
      </c>
      <c r="E89" s="18" t="str">
        <f>Data!G90</f>
        <v>Olsen</v>
      </c>
      <c r="F89" s="18" t="str">
        <f>Data!H90</f>
        <v>mark.olsen@unitedcivil.co.nz</v>
      </c>
      <c r="G89" s="18" t="str">
        <f>Data!I90</f>
        <v>Standard Hours</v>
      </c>
      <c r="H89" s="18" t="str">
        <f>Data!K90</f>
        <v>Stopped</v>
      </c>
      <c r="I89" s="18" t="b">
        <f>Data!L90</f>
        <v>0</v>
      </c>
      <c r="J89" s="19" t="str">
        <f>Data!N90</f>
        <v>11 Shoebridge Crescent, Ngunguru 0173, New Zealand</v>
      </c>
      <c r="K89" s="19">
        <f>Data!O90</f>
        <v>0</v>
      </c>
      <c r="L89" s="20">
        <f>Data!Q90</f>
        <v>95277.8984375</v>
      </c>
      <c r="M89" s="21">
        <f>Data!R90</f>
        <v>12.376934178240742</v>
      </c>
      <c r="N89" s="22">
        <f>Data!S90</f>
        <v>45782.95171710648</v>
      </c>
      <c r="O89" s="22">
        <f>Data!T90</f>
        <v>54789.541666666664</v>
      </c>
      <c r="P89" s="23" t="b">
        <f>OR(Data!$B$2&lt;Data!S90,Data!$B$2&gt;Data!T90)</f>
        <v>0</v>
      </c>
      <c r="Q89" s="23" t="str">
        <f>Data!J90</f>
        <v>GO Mode,Garmin,HOS,Iridium,UI</v>
      </c>
      <c r="R89" s="18" t="str">
        <f>Data!U90</f>
        <v>Version 9</v>
      </c>
      <c r="S89" s="18" t="str">
        <f>CONCATENATE(Data!V90,".",Data!W90,".",Data!X90)</f>
        <v>120.42.57</v>
      </c>
      <c r="T89" s="18" t="str">
        <f>Data!Y90</f>
        <v>G9VWFN34WNKK</v>
      </c>
      <c r="U89" s="18" t="str">
        <f>Data!Z90</f>
        <v>NZW118</v>
      </c>
      <c r="V89" s="18">
        <f>Data!AA90</f>
        <v>0</v>
      </c>
      <c r="W89" s="18" t="str">
        <f>Data!AD90</f>
        <v>MR0JA3DDX00371667</v>
      </c>
      <c r="X89" s="18" t="str">
        <f>Data!AF90</f>
        <v>Pacific/Auckland</v>
      </c>
      <c r="Y89" s="24" t="str">
        <f>IF(ISBLANK(Data!AG90),"",Data!AG90)</f>
        <v>Toyota Hilux 2022 4x2 SR D/C W/S</v>
      </c>
      <c r="Z89" s="18" t="str">
        <f>Data!AL90</f>
        <v>OK</v>
      </c>
      <c r="AA89" s="22">
        <f>Data!AH90</f>
        <v>45975.483533877312</v>
      </c>
      <c r="AB89" s="22">
        <f>IF(ISBLANK(Data!AI90),"",Data!AI90)</f>
        <v>45975.85973758102</v>
      </c>
    </row>
    <row r="90" spans="1:28">
      <c r="A90" s="18" t="str">
        <f>Data!A91</f>
        <v>527</v>
      </c>
      <c r="B90" s="18" t="str">
        <f>Data!C91</f>
        <v>Light Diesel Vehicles, Diesel, LDV/Supervisor, Supervisor</v>
      </c>
      <c r="C90" s="18" t="str">
        <f>Data!B91</f>
        <v>b18B</v>
      </c>
      <c r="D90" s="18" t="str">
        <f>Data!F91</f>
        <v>Gary</v>
      </c>
      <c r="E90" s="18" t="str">
        <f>Data!G91</f>
        <v>Blackwood</v>
      </c>
      <c r="F90" s="18" t="str">
        <f>Data!H91</f>
        <v>gary.blackwood@unitedcivil.co.nz</v>
      </c>
      <c r="G90" s="18" t="str">
        <f>Data!I91</f>
        <v>Standard Hours</v>
      </c>
      <c r="H90" s="18" t="str">
        <f>Data!K91</f>
        <v>Stopped</v>
      </c>
      <c r="I90" s="18" t="b">
        <f>Data!L91</f>
        <v>0</v>
      </c>
      <c r="J90" s="19" t="str">
        <f>Data!N91</f>
        <v>5 Taniwha Street, Taupō 3330, New Zealand</v>
      </c>
      <c r="K90" s="19">
        <f>Data!O91</f>
        <v>0</v>
      </c>
      <c r="L90" s="20">
        <f>Data!Q91</f>
        <v>97587.3984375</v>
      </c>
      <c r="M90" s="21">
        <f>Data!R91</f>
        <v>7.4526515509259257</v>
      </c>
      <c r="N90" s="22">
        <f>Data!S91</f>
        <v>45782.952524722219</v>
      </c>
      <c r="O90" s="22">
        <f>Data!T91</f>
        <v>54789.541666666664</v>
      </c>
      <c r="P90" s="23" t="b">
        <f>OR(Data!$B$2&lt;Data!S91,Data!$B$2&gt;Data!T91)</f>
        <v>0</v>
      </c>
      <c r="Q90" s="23" t="str">
        <f>Data!J91</f>
        <v>GO Mode,Garmin,HOS,Iridium,UI</v>
      </c>
      <c r="R90" s="18" t="str">
        <f>Data!U91</f>
        <v>Version 9</v>
      </c>
      <c r="S90" s="18" t="str">
        <f>CONCATENATE(Data!V91,".",Data!W91,".",Data!X91)</f>
        <v>120.42.57</v>
      </c>
      <c r="T90" s="18" t="str">
        <f>Data!Y91</f>
        <v>G9WWXVES7ZVV</v>
      </c>
      <c r="U90" s="18" t="str">
        <f>Data!Z91</f>
        <v>PAP496</v>
      </c>
      <c r="V90" s="18">
        <f>Data!AA91</f>
        <v>0</v>
      </c>
      <c r="W90" s="18" t="str">
        <f>Data!AD91</f>
        <v>MR0JA3DD600349536</v>
      </c>
      <c r="X90" s="18" t="str">
        <f>Data!AF91</f>
        <v>Pacific/Auckland</v>
      </c>
      <c r="Y90" s="24" t="str">
        <f>IF(ISBLANK(Data!AG91),"",Data!AG91)</f>
        <v>Toyota Hilux 2022 4x2 SR D/C W/S</v>
      </c>
      <c r="Z90" s="18" t="str">
        <f>Data!AL91</f>
        <v>OK</v>
      </c>
      <c r="AA90" s="22">
        <f>Data!AH91</f>
        <v>45975.638564525463</v>
      </c>
      <c r="AB90" s="22">
        <f>IF(ISBLANK(Data!AI91),"",Data!AI91)</f>
        <v>45975.848066840277</v>
      </c>
    </row>
    <row r="91" spans="1:28">
      <c r="A91" s="18" t="str">
        <f>Data!A92</f>
        <v>528</v>
      </c>
      <c r="B91" s="18" t="str">
        <f>Data!C92</f>
        <v>Light Diesel Vehicles, Diesel, LDV/Trade Staff, Trade Staff</v>
      </c>
      <c r="C91" s="18" t="str">
        <f>Data!B92</f>
        <v>b181</v>
      </c>
      <c r="D91" s="18" t="str">
        <f>Data!F92</f>
        <v>Berne</v>
      </c>
      <c r="E91" s="18" t="str">
        <f>Data!G92</f>
        <v>Connelly</v>
      </c>
      <c r="F91" s="18" t="str">
        <f>Data!H92</f>
        <v>berne.connelly</v>
      </c>
      <c r="G91" s="18" t="str">
        <f>Data!I92</f>
        <v>Standard Hours</v>
      </c>
      <c r="H91" s="18" t="str">
        <f>Data!K92</f>
        <v>Stopped</v>
      </c>
      <c r="I91" s="18" t="b">
        <f>Data!L92</f>
        <v>0</v>
      </c>
      <c r="J91" s="19" t="str">
        <f>Data!N92</f>
        <v>Kaikohe Work Area: 31 Harold Avenue, Kaikohe 0405, New Zealand</v>
      </c>
      <c r="K91" s="19" t="str">
        <f>Data!O92</f>
        <v>Project</v>
      </c>
      <c r="L91" s="20">
        <f>Data!Q92</f>
        <v>89151.796875</v>
      </c>
      <c r="M91" s="21">
        <f>Data!R92</f>
        <v>19.120092743055555</v>
      </c>
      <c r="N91" s="22">
        <f>Data!S92</f>
        <v>45782.953040567132</v>
      </c>
      <c r="O91" s="22">
        <f>Data!T92</f>
        <v>54789.541666666664</v>
      </c>
      <c r="P91" s="23" t="b">
        <f>OR(Data!$B$2&lt;Data!S92,Data!$B$2&gt;Data!T92)</f>
        <v>0</v>
      </c>
      <c r="Q91" s="23" t="str">
        <f>Data!J92</f>
        <v>GO Mode,Garmin,HOS,Iridium,UI</v>
      </c>
      <c r="R91" s="18" t="str">
        <f>Data!U92</f>
        <v>Version 9</v>
      </c>
      <c r="S91" s="18" t="str">
        <f>CONCATENATE(Data!V92,".",Data!W92,".",Data!X92)</f>
        <v>120.42.57</v>
      </c>
      <c r="T91" s="18" t="str">
        <f>Data!Y92</f>
        <v>G933JZ6MV04H</v>
      </c>
      <c r="U91" s="18" t="str">
        <f>Data!Z92</f>
        <v>PCE760</v>
      </c>
      <c r="V91" s="18">
        <f>Data!AA92</f>
        <v>0</v>
      </c>
      <c r="W91" s="18" t="str">
        <f>Data!AD92</f>
        <v>MR0JA3DD800349571</v>
      </c>
      <c r="X91" s="18" t="str">
        <f>Data!AF92</f>
        <v>Pacific/Auckland</v>
      </c>
      <c r="Y91" s="24" t="str">
        <f>IF(ISBLANK(Data!AG92),"",Data!AG92)</f>
        <v>Toyota Hilux 2022 4x2 SR D/C W/S</v>
      </c>
      <c r="Z91" s="18" t="str">
        <f>Data!AL92</f>
        <v>OK</v>
      </c>
      <c r="AA91" s="22">
        <f>Data!AH92</f>
        <v>45975.698012303241</v>
      </c>
      <c r="AB91" s="22">
        <f>IF(ISBLANK(Data!AI92),"",Data!AI92)</f>
        <v>45975.845130358794</v>
      </c>
    </row>
    <row r="92" spans="1:28">
      <c r="A92" s="18" t="str">
        <f>Data!A93</f>
        <v>530</v>
      </c>
      <c r="B92" s="18" t="str">
        <f>Data!C93</f>
        <v>Light Diesel Vehicles, Diesel, LDV/Other Management, Other Management</v>
      </c>
      <c r="C92" s="18" t="str">
        <f>Data!B93</f>
        <v>bCA</v>
      </c>
      <c r="D92" s="18" t="str">
        <f>Data!F93</f>
        <v>Engelbert</v>
      </c>
      <c r="E92" s="18" t="str">
        <f>Data!G93</f>
        <v>Van Schalkwyk</v>
      </c>
      <c r="F92" s="18" t="str">
        <f>Data!H93</f>
        <v>engelbert.vanschalkwyk@unitedcivil.co.nz</v>
      </c>
      <c r="G92" s="18" t="str">
        <f>Data!I93</f>
        <v>Standard Hours</v>
      </c>
      <c r="H92" s="18" t="str">
        <f>Data!K93</f>
        <v>Stopped</v>
      </c>
      <c r="I92" s="18" t="b">
        <f>Data!L93</f>
        <v>0</v>
      </c>
      <c r="J92" s="19" t="str">
        <f>Data!N93</f>
        <v>101 Church Street, Onerahi, Whangārei 0110, New Zealand</v>
      </c>
      <c r="K92" s="19">
        <f>Data!O93</f>
        <v>0</v>
      </c>
      <c r="L92" s="20">
        <f>Data!Q93</f>
        <v>151185</v>
      </c>
      <c r="M92" s="21">
        <f>Data!R93</f>
        <v>20.8181790625</v>
      </c>
      <c r="N92" s="22">
        <f>Data!S93</f>
        <v>45716.482506898152</v>
      </c>
      <c r="O92" s="22">
        <f>Data!T93</f>
        <v>54789.541666666664</v>
      </c>
      <c r="P92" s="23" t="b">
        <f>OR(Data!$B$2&lt;Data!S93,Data!$B$2&gt;Data!T93)</f>
        <v>0</v>
      </c>
      <c r="Q92" s="23" t="str">
        <f>Data!J93</f>
        <v>GO Mode,Garmin,HOS,Iridium,UI</v>
      </c>
      <c r="R92" s="18" t="str">
        <f>Data!U93</f>
        <v>Version 9</v>
      </c>
      <c r="S92" s="18" t="str">
        <f>CONCATENATE(Data!V93,".",Data!W93,".",Data!X93)</f>
        <v>120.42.57</v>
      </c>
      <c r="T92" s="18" t="str">
        <f>Data!Y93</f>
        <v>G95ZHRRVYTAM</v>
      </c>
      <c r="U92" s="18" t="str">
        <f>Data!Z93</f>
        <v>MAR717</v>
      </c>
      <c r="V92" s="18">
        <f>Data!AA93</f>
        <v>0</v>
      </c>
      <c r="W92" s="18" t="str">
        <f>Data!AD93</f>
        <v>MR0JA3DDX00344484</v>
      </c>
      <c r="X92" s="18" t="str">
        <f>Data!AF93</f>
        <v>Pacific/Auckland</v>
      </c>
      <c r="Y92" s="24" t="str">
        <f>IF(ISBLANK(Data!AG93),"",Data!AG93)</f>
        <v>Toyota Hilux 2019 4x2 SR D/C W/S</v>
      </c>
      <c r="Z92" s="18" t="str">
        <f>Data!AL93</f>
        <v>OK</v>
      </c>
      <c r="AA92" s="22">
        <f>Data!AH93</f>
        <v>45975.698222222221</v>
      </c>
      <c r="AB92" s="22">
        <f>IF(ISBLANK(Data!AI93),"",Data!AI93)</f>
        <v>45975.845548611112</v>
      </c>
    </row>
    <row r="93" spans="1:28">
      <c r="A93" s="18" t="str">
        <f>Data!A94</f>
        <v>531</v>
      </c>
      <c r="B93" s="18" t="str">
        <f>Data!C94</f>
        <v>Light Diesel Vehicles, LDV/Trade Staff, Trade Staff</v>
      </c>
      <c r="C93" s="18" t="str">
        <f>Data!B94</f>
        <v>b119</v>
      </c>
      <c r="D93" s="18" t="str">
        <f>Data!F94</f>
        <v>Rico</v>
      </c>
      <c r="E93" s="18" t="str">
        <f>Data!G94</f>
        <v>Cemino</v>
      </c>
      <c r="F93" s="18" t="str">
        <f>Data!H94</f>
        <v>rico.cemino</v>
      </c>
      <c r="G93" s="18" t="str">
        <f>Data!I94</f>
        <v>Standard Hours</v>
      </c>
      <c r="H93" s="18" t="str">
        <f>Data!K94</f>
        <v>Stopped</v>
      </c>
      <c r="I93" s="18" t="b">
        <f>Data!L94</f>
        <v>0</v>
      </c>
      <c r="J93" s="19" t="str">
        <f>Data!N94</f>
        <v>179 Otaika Road, Raumanga, Whangārei 0110, New Zealand</v>
      </c>
      <c r="K93" s="19">
        <f>Data!O94</f>
        <v>0</v>
      </c>
      <c r="L93" s="20">
        <f>Data!Q94</f>
        <v>320792.59375</v>
      </c>
      <c r="M93" s="21">
        <f>Data!R94</f>
        <v>12.484961296296296</v>
      </c>
      <c r="N93" s="22">
        <f>Data!S94</f>
        <v>45807.562050289351</v>
      </c>
      <c r="O93" s="22">
        <f>Data!T94</f>
        <v>54789.541666666664</v>
      </c>
      <c r="P93" s="23" t="b">
        <f>OR(Data!$B$2&lt;Data!S94,Data!$B$2&gt;Data!T94)</f>
        <v>0</v>
      </c>
      <c r="Q93" s="23" t="str">
        <f>Data!J94</f>
        <v>GO Mode,Garmin,HOS,Iridium,UI</v>
      </c>
      <c r="R93" s="18" t="str">
        <f>Data!U94</f>
        <v>Version 9</v>
      </c>
      <c r="S93" s="18" t="str">
        <f>CONCATENATE(Data!V94,".",Data!W94,".",Data!X94)</f>
        <v>120.42.57</v>
      </c>
      <c r="T93" s="18" t="str">
        <f>Data!Y94</f>
        <v>G9MZ91R7SWNN</v>
      </c>
      <c r="U93" s="18" t="str">
        <f>Data!Z94</f>
        <v>GUJ411</v>
      </c>
      <c r="V93" s="18">
        <f>Data!AA94</f>
        <v>0</v>
      </c>
      <c r="W93" s="18">
        <f>Data!AD94</f>
        <v>0</v>
      </c>
      <c r="X93" s="18" t="str">
        <f>Data!AF94</f>
        <v>Pacific/Auckland</v>
      </c>
      <c r="Y93" s="24" t="str">
        <f>IF(ISBLANK(Data!AG94),"",Data!AG94)</f>
        <v>Isuzu D-Max 2013 4X2 LS D/C W/S</v>
      </c>
      <c r="Z93" s="18" t="str">
        <f>Data!AL94</f>
        <v>OK</v>
      </c>
      <c r="AA93" s="22">
        <f>Data!AH94</f>
        <v>45975.708879363425</v>
      </c>
      <c r="AB93" s="22">
        <f>IF(ISBLANK(Data!AI94),"",Data!AI94)</f>
        <v>45975.856124733793</v>
      </c>
    </row>
    <row r="94" spans="1:28">
      <c r="A94" s="18" t="str">
        <f>Data!A95</f>
        <v>532</v>
      </c>
      <c r="B94" s="18" t="str">
        <f>Data!C95</f>
        <v>Electric Vehicles, Battery Electric Vehicle, BYD, EV/PE, PE</v>
      </c>
      <c r="C94" s="18" t="str">
        <f>Data!B95</f>
        <v>b189</v>
      </c>
      <c r="D94" s="18" t="str">
        <f>Data!F95</f>
        <v>Michael</v>
      </c>
      <c r="E94" s="18" t="str">
        <f>Data!G95</f>
        <v>Polglase</v>
      </c>
      <c r="F94" s="18" t="str">
        <f>Data!H95</f>
        <v>michael.polglase@unitedcivil.co.nz</v>
      </c>
      <c r="G94" s="18" t="str">
        <f>Data!I95</f>
        <v>Standard Hours</v>
      </c>
      <c r="H94" s="18" t="str">
        <f>Data!K95</f>
        <v>Stopped</v>
      </c>
      <c r="I94" s="18" t="b">
        <f>Data!L95</f>
        <v>0</v>
      </c>
      <c r="J94" s="19" t="str">
        <f>Data!N95</f>
        <v>28 Mountain Road, Morningside, Whangārei 0110, New Zealand</v>
      </c>
      <c r="K94" s="19">
        <f>Data!O95</f>
        <v>0</v>
      </c>
      <c r="L94" s="20">
        <f>Data!Q95</f>
        <v>49620.27734375</v>
      </c>
      <c r="M94" s="21">
        <f>Data!R95</f>
        <v>25.753804837962964</v>
      </c>
      <c r="N94" s="22">
        <f>Data!S95</f>
        <v>45782.953469131942</v>
      </c>
      <c r="O94" s="22">
        <f>Data!T95</f>
        <v>54789.541666666664</v>
      </c>
      <c r="P94" s="23" t="b">
        <f>OR(Data!$B$2&lt;Data!S95,Data!$B$2&gt;Data!T95)</f>
        <v>0</v>
      </c>
      <c r="Q94" s="23" t="str">
        <f>Data!J95</f>
        <v>GO Mode,Garmin,HOS,Iridium,UI</v>
      </c>
      <c r="R94" s="18" t="str">
        <f>Data!U95</f>
        <v>Version 9</v>
      </c>
      <c r="S94" s="18" t="str">
        <f>CONCATENATE(Data!V95,".",Data!W95,".",Data!X95)</f>
        <v>120.45.22</v>
      </c>
      <c r="T94" s="18" t="str">
        <f>Data!Y95</f>
        <v>G9K1YD6WD4P7</v>
      </c>
      <c r="U94" s="18" t="str">
        <f>Data!Z95</f>
        <v>QAJ980</v>
      </c>
      <c r="V94" s="18">
        <f>Data!AA95</f>
        <v>0</v>
      </c>
      <c r="W94" s="18" t="str">
        <f>Data!AD95</f>
        <v>LGXCE4CB9P2039772</v>
      </c>
      <c r="X94" s="18" t="str">
        <f>Data!AF95</f>
        <v>Pacific/Auckland</v>
      </c>
      <c r="Y94" s="24" t="str">
        <f>IF(ISBLANK(Data!AG95),"",Data!AG95)</f>
        <v>BYD Atto 3 2023 Extended Range</v>
      </c>
      <c r="Z94" s="18" t="str">
        <f>Data!AL95</f>
        <v>OK</v>
      </c>
      <c r="AA94" s="22">
        <f>Data!AH95</f>
        <v>45975.710366597224</v>
      </c>
      <c r="AB94" s="22">
        <f>IF(ISBLANK(Data!AI95),"",Data!AI95)</f>
        <v>45975.857322615739</v>
      </c>
    </row>
    <row r="95" spans="1:28">
      <c r="A95" s="18" t="str">
        <f>Data!A96</f>
        <v>533</v>
      </c>
      <c r="B95" s="18" t="str">
        <f>Data!C96</f>
        <v>Electric Vehicles, Battery Electric Vehicle, BYD, EV/Other Management, Other Management</v>
      </c>
      <c r="C95" s="18" t="str">
        <f>Data!B96</f>
        <v>b2</v>
      </c>
      <c r="D95" s="18" t="str">
        <f>Data!F96</f>
        <v>Tom</v>
      </c>
      <c r="E95" s="18" t="str">
        <f>Data!G96</f>
        <v>Collis</v>
      </c>
      <c r="F95" s="18" t="str">
        <f>Data!H96</f>
        <v>tom.collis@unitedcivil.co.nz</v>
      </c>
      <c r="G95" s="18" t="str">
        <f>Data!I96</f>
        <v>Standard Hours</v>
      </c>
      <c r="H95" s="18" t="str">
        <f>Data!K96</f>
        <v>Stopped</v>
      </c>
      <c r="I95" s="18" t="b">
        <f>Data!L96</f>
        <v>0</v>
      </c>
      <c r="J95" s="19" t="str">
        <f>Data!N96</f>
        <v>United Civil Head Office: 19B Rewa Rewa Road, Raumanga, Whangārei 0110, New Zealand</v>
      </c>
      <c r="K95" s="19" t="str">
        <f>Data!O96</f>
        <v>Office Zone</v>
      </c>
      <c r="L95" s="20">
        <f>Data!Q96</f>
        <v>28001.48046875</v>
      </c>
      <c r="M95" s="21">
        <f>Data!R96</f>
        <v>66.344323101851856</v>
      </c>
      <c r="N95" s="22">
        <f>Data!S96</f>
        <v>45538.58242402778</v>
      </c>
      <c r="O95" s="22">
        <f>Data!T96</f>
        <v>54789.541666666664</v>
      </c>
      <c r="P95" s="23" t="b">
        <f>OR(Data!$B$2&lt;Data!S96,Data!$B$2&gt;Data!T96)</f>
        <v>0</v>
      </c>
      <c r="Q95" s="23" t="str">
        <f>Data!J96</f>
        <v>GO Mode,Garmin,HOS,Iridium,UI</v>
      </c>
      <c r="R95" s="18" t="str">
        <f>Data!U96</f>
        <v>Version 9</v>
      </c>
      <c r="S95" s="18" t="str">
        <f>CONCATENATE(Data!V96,".",Data!W96,".",Data!X96)</f>
        <v>120.42.57</v>
      </c>
      <c r="T95" s="18" t="str">
        <f>Data!Y96</f>
        <v>G9P2UPYBVE0Y</v>
      </c>
      <c r="U95" s="18" t="str">
        <f>Data!Z96</f>
        <v>QAU621</v>
      </c>
      <c r="V95" s="18">
        <f>Data!AA96</f>
        <v>0</v>
      </c>
      <c r="W95" s="18" t="str">
        <f>Data!AD96</f>
        <v>LGXCE4CB8P2039861</v>
      </c>
      <c r="X95" s="18" t="str">
        <f>Data!AF96</f>
        <v>Pacific/Auckland</v>
      </c>
      <c r="Y95" s="24" t="str">
        <f>IF(ISBLANK(Data!AG96),"",Data!AG96)</f>
        <v>BYD Atto 3 2023 Extended Range</v>
      </c>
      <c r="Z95" s="18" t="str">
        <f>Data!AL96</f>
        <v>OK</v>
      </c>
      <c r="AA95" s="22">
        <f>Data!AH96</f>
        <v>45975.582037245367</v>
      </c>
      <c r="AB95" s="22">
        <f>IF(ISBLANK(Data!AI96),"",Data!AI96)</f>
        <v>45975.859884467594</v>
      </c>
    </row>
    <row r="96" spans="1:28">
      <c r="A96" s="18" t="str">
        <f>Data!A97</f>
        <v>534</v>
      </c>
      <c r="B96" s="18" t="str">
        <f>Data!C97</f>
        <v>Electric Vehicles, Battery Electric Vehicle, EV/Other Management, Other Management</v>
      </c>
      <c r="C96" s="18" t="str">
        <f>Data!B97</f>
        <v>b16F</v>
      </c>
      <c r="D96" s="18" t="str">
        <f>Data!F97</f>
        <v>Tania</v>
      </c>
      <c r="E96" s="18" t="str">
        <f>Data!G97</f>
        <v>Tipene</v>
      </c>
      <c r="F96" s="18" t="str">
        <f>Data!H97</f>
        <v>tania.tipene@unitedcivil.co.nz</v>
      </c>
      <c r="G96" s="18" t="str">
        <f>Data!I97</f>
        <v>Standard Hours</v>
      </c>
      <c r="H96" s="18" t="str">
        <f>Data!K97</f>
        <v>Stopped</v>
      </c>
      <c r="I96" s="18" t="b">
        <f>Data!L97</f>
        <v>0</v>
      </c>
      <c r="J96" s="19" t="str">
        <f>Data!N97</f>
        <v>134 Otaika Road, Raumanga, Whangārei 0110, New Zealand</v>
      </c>
      <c r="K96" s="19">
        <f>Data!O97</f>
        <v>0</v>
      </c>
      <c r="L96" s="20">
        <f>Data!Q97</f>
        <v>32160</v>
      </c>
      <c r="M96" s="21">
        <f>Data!R97</f>
        <v>4.9095937384259258</v>
      </c>
      <c r="N96" s="22">
        <f>Data!S97</f>
        <v>45782.941691122687</v>
      </c>
      <c r="O96" s="22">
        <f>Data!T97</f>
        <v>54789.541666666664</v>
      </c>
      <c r="P96" s="23" t="b">
        <f>OR(Data!$B$2&lt;Data!S97,Data!$B$2&gt;Data!T97)</f>
        <v>0</v>
      </c>
      <c r="Q96" s="23" t="str">
        <f>Data!J97</f>
        <v>GO Mode,Garmin,HOS,Iridium,UI</v>
      </c>
      <c r="R96" s="18" t="str">
        <f>Data!U97</f>
        <v>Version 9</v>
      </c>
      <c r="S96" s="18" t="str">
        <f>CONCATENATE(Data!V97,".",Data!W97,".",Data!X97)</f>
        <v>120.42.59</v>
      </c>
      <c r="T96" s="18" t="str">
        <f>Data!Y97</f>
        <v>G949VT146DYK</v>
      </c>
      <c r="U96" s="18" t="str">
        <f>Data!Z97</f>
        <v>QFC57</v>
      </c>
      <c r="V96" s="18">
        <f>Data!AA97</f>
        <v>0</v>
      </c>
      <c r="W96" s="18" t="str">
        <f>Data!AD97</f>
        <v>LRWYHCFS4PC205476</v>
      </c>
      <c r="X96" s="18" t="str">
        <f>Data!AF97</f>
        <v>Pacific/Auckland</v>
      </c>
      <c r="Y96" s="24" t="str">
        <f>IF(ISBLANK(Data!AG97),"",Data!AG97)</f>
        <v>Tesla Model Y 2023</v>
      </c>
      <c r="Z96" s="18" t="str">
        <f>Data!AL97</f>
        <v>OK</v>
      </c>
      <c r="AA96" s="22">
        <f>Data!AH97</f>
        <v>45975.71025329861</v>
      </c>
      <c r="AB96" s="22">
        <f>IF(ISBLANK(Data!AI97),"",Data!AI97)</f>
        <v>45975.857348206016</v>
      </c>
    </row>
    <row r="97" spans="1:28">
      <c r="A97" s="18" t="str">
        <f>Data!A98</f>
        <v>535</v>
      </c>
      <c r="B97" s="18" t="str">
        <f>Data!C98</f>
        <v>Electric Vehicles, Battery Electric Vehicle, EV/PM, PM</v>
      </c>
      <c r="C97" s="18" t="str">
        <f>Data!B98</f>
        <v>b1A1</v>
      </c>
      <c r="D97" s="18">
        <f>Data!F98</f>
        <v>0</v>
      </c>
      <c r="E97" s="18">
        <f>Data!G98</f>
        <v>0</v>
      </c>
      <c r="F97" s="18">
        <f>Data!H98</f>
        <v>0</v>
      </c>
      <c r="G97" s="18" t="str">
        <f>Data!I98</f>
        <v>Standard Hours</v>
      </c>
      <c r="H97" s="18" t="str">
        <f>Data!K98</f>
        <v>Stopped</v>
      </c>
      <c r="I97" s="18" t="b">
        <f>Data!L98</f>
        <v>0</v>
      </c>
      <c r="J97" s="19" t="str">
        <f>Data!N98</f>
        <v>18 Western View Heights, Horahora, Whangārei 0110, New Zealand</v>
      </c>
      <c r="K97" s="19">
        <f>Data!O98</f>
        <v>0</v>
      </c>
      <c r="L97" s="20">
        <f>Data!Q98</f>
        <v>46490.80078125</v>
      </c>
      <c r="M97" s="21">
        <f>Data!R98</f>
        <v>5.0805465972222219</v>
      </c>
      <c r="N97" s="22">
        <f>Data!S98</f>
        <v>45782.954315578703</v>
      </c>
      <c r="O97" s="22">
        <f>Data!T98</f>
        <v>54789.541666666664</v>
      </c>
      <c r="P97" s="23" t="b">
        <f>OR(Data!$B$2&lt;Data!S98,Data!$B$2&gt;Data!T98)</f>
        <v>0</v>
      </c>
      <c r="Q97" s="23" t="str">
        <f>Data!J98</f>
        <v>GO Mode,Garmin,HOS,Iridium,UI</v>
      </c>
      <c r="R97" s="18" t="str">
        <f>Data!U98</f>
        <v>Version 9</v>
      </c>
      <c r="S97" s="18" t="str">
        <f>CONCATENATE(Data!V98,".",Data!W98,".",Data!X98)</f>
        <v>120.42.57</v>
      </c>
      <c r="T97" s="18" t="str">
        <f>Data!Y98</f>
        <v>G96868U7EAWZ</v>
      </c>
      <c r="U97" s="18" t="str">
        <f>Data!Z98</f>
        <v>QFC58</v>
      </c>
      <c r="V97" s="18">
        <f>Data!AA98</f>
        <v>0</v>
      </c>
      <c r="W97" s="18" t="str">
        <f>Data!AD98</f>
        <v>LRWYHCFS5PC205082</v>
      </c>
      <c r="X97" s="18" t="str">
        <f>Data!AF98</f>
        <v>Pacific/Auckland</v>
      </c>
      <c r="Y97" s="24" t="str">
        <f>IF(ISBLANK(Data!AG98),"",Data!AG98)</f>
        <v>Tesla Model Y 2024</v>
      </c>
      <c r="Z97" s="18" t="str">
        <f>Data!AL98</f>
        <v>OK</v>
      </c>
      <c r="AA97" s="22">
        <f>Data!AH98</f>
        <v>45975.72285046296</v>
      </c>
      <c r="AB97" s="22">
        <f>IF(ISBLANK(Data!AI98),"",Data!AI98)</f>
        <v>45975.849112037038</v>
      </c>
    </row>
    <row r="98" spans="1:28">
      <c r="A98" s="18" t="str">
        <f>Data!A99</f>
        <v>536</v>
      </c>
      <c r="B98" s="18" t="str">
        <f>Data!C99</f>
        <v>Electric Vehicles, Battery Electric Vehicle, EV/Other Management, Other Management</v>
      </c>
      <c r="C98" s="18" t="str">
        <f>Data!B99</f>
        <v>bF3</v>
      </c>
      <c r="D98" s="18" t="str">
        <f>Data!F99</f>
        <v>Tony</v>
      </c>
      <c r="E98" s="18" t="str">
        <f>Data!G99</f>
        <v>Abiad</v>
      </c>
      <c r="F98" s="18" t="str">
        <f>Data!H99</f>
        <v>tony.abiad@unitedcivil.co.nz</v>
      </c>
      <c r="G98" s="18" t="str">
        <f>Data!I99</f>
        <v>Standard Hours</v>
      </c>
      <c r="H98" s="18" t="str">
        <f>Data!K99</f>
        <v>Stopped</v>
      </c>
      <c r="I98" s="18" t="b">
        <f>Data!L99</f>
        <v>0</v>
      </c>
      <c r="J98" s="19" t="str">
        <f>Data!N99</f>
        <v>510 Hart Drive, Frimley, Hastings 4120, New Zealand</v>
      </c>
      <c r="K98" s="19">
        <f>Data!O99</f>
        <v>0</v>
      </c>
      <c r="L98" s="20">
        <f>Data!Q99</f>
        <v>71890.3984375</v>
      </c>
      <c r="M98" s="21">
        <f>Data!R99</f>
        <v>8.2194779629629622</v>
      </c>
      <c r="N98" s="22">
        <f>Data!S99</f>
        <v>45720.959555393521</v>
      </c>
      <c r="O98" s="22">
        <f>Data!T99</f>
        <v>54789.541666666664</v>
      </c>
      <c r="P98" s="23" t="b">
        <f>OR(Data!$B$2&lt;Data!S99,Data!$B$2&gt;Data!T99)</f>
        <v>0</v>
      </c>
      <c r="Q98" s="23" t="str">
        <f>Data!J99</f>
        <v>GO Mode,Garmin,HOS,Iridium,UI</v>
      </c>
      <c r="R98" s="18" t="str">
        <f>Data!U99</f>
        <v>Version 9</v>
      </c>
      <c r="S98" s="18" t="str">
        <f>CONCATENATE(Data!V99,".",Data!W99,".",Data!X99)</f>
        <v>120.45.22</v>
      </c>
      <c r="T98" s="18" t="str">
        <f>Data!Y99</f>
        <v>G93VNTJEVMVH</v>
      </c>
      <c r="U98" s="18" t="str">
        <f>Data!Z99</f>
        <v>QFC71</v>
      </c>
      <c r="V98" s="18">
        <f>Data!AA99</f>
        <v>0</v>
      </c>
      <c r="W98" s="18" t="str">
        <f>Data!AD99</f>
        <v>LRWYHCFS3PC205081</v>
      </c>
      <c r="X98" s="18" t="str">
        <f>Data!AF99</f>
        <v>Pacific/Auckland</v>
      </c>
      <c r="Y98" s="24" t="str">
        <f>IF(ISBLANK(Data!AG99),"",Data!AG99)</f>
        <v>Tesla Model Y 2023</v>
      </c>
      <c r="Z98" s="18" t="str">
        <f>Data!AL99</f>
        <v>OK</v>
      </c>
      <c r="AA98" s="22">
        <f>Data!AH99</f>
        <v>45965.708961562501</v>
      </c>
      <c r="AB98" s="22">
        <f>IF(ISBLANK(Data!AI99),"",Data!AI99)</f>
        <v>45975.857699988424</v>
      </c>
    </row>
    <row r="99" spans="1:28">
      <c r="A99" s="18" t="str">
        <f>Data!A100</f>
        <v>537</v>
      </c>
      <c r="B99" s="18" t="str">
        <f>Data!C100</f>
        <v>Light Diesel Vehicles, Diesel, LDV/Supervisor, Supervisor</v>
      </c>
      <c r="C99" s="18" t="str">
        <f>Data!B100</f>
        <v>bFD</v>
      </c>
      <c r="D99" s="18" t="str">
        <f>Data!F100</f>
        <v>Arthur</v>
      </c>
      <c r="E99" s="18" t="str">
        <f>Data!G100</f>
        <v>Ruedi</v>
      </c>
      <c r="F99" s="18" t="str">
        <f>Data!H100</f>
        <v>arthur.ruedi@unitedcivil.co.nz</v>
      </c>
      <c r="G99" s="18" t="str">
        <f>Data!I100</f>
        <v>Standard Hours</v>
      </c>
      <c r="H99" s="18" t="str">
        <f>Data!K100</f>
        <v>Stopped</v>
      </c>
      <c r="I99" s="18" t="b">
        <f>Data!L100</f>
        <v>0</v>
      </c>
      <c r="J99" s="19" t="str">
        <f>Data!N100</f>
        <v>69B Sands Road, Whareora 0173, New Zealand</v>
      </c>
      <c r="K99" s="19">
        <f>Data!O100</f>
        <v>0</v>
      </c>
      <c r="L99" s="20">
        <f>Data!Q100</f>
        <v>57550</v>
      </c>
      <c r="M99" s="21">
        <f>Data!R100</f>
        <v>15.32949707175926</v>
      </c>
      <c r="N99" s="22">
        <f>Data!S100</f>
        <v>45723.443361909725</v>
      </c>
      <c r="O99" s="22">
        <f>Data!T100</f>
        <v>54789.541666666664</v>
      </c>
      <c r="P99" s="23" t="b">
        <f>OR(Data!$B$2&lt;Data!S100,Data!$B$2&gt;Data!T100)</f>
        <v>0</v>
      </c>
      <c r="Q99" s="23" t="str">
        <f>Data!J100</f>
        <v>GO Mode,Garmin,HOS,Iridium,UI</v>
      </c>
      <c r="R99" s="18" t="str">
        <f>Data!U100</f>
        <v>Version 9</v>
      </c>
      <c r="S99" s="18" t="str">
        <f>CONCATENATE(Data!V100,".",Data!W100,".",Data!X100)</f>
        <v>120.42.57</v>
      </c>
      <c r="T99" s="18" t="str">
        <f>Data!Y100</f>
        <v>G9D22RY888ED</v>
      </c>
      <c r="U99" s="18" t="str">
        <f>Data!Z100</f>
        <v>QJZ870</v>
      </c>
      <c r="V99" s="18">
        <f>Data!AA100</f>
        <v>0</v>
      </c>
      <c r="W99" s="18" t="str">
        <f>Data!AD100</f>
        <v>MR0JA3DD700352025</v>
      </c>
      <c r="X99" s="18" t="str">
        <f>Data!AF100</f>
        <v>Pacific/Auckland</v>
      </c>
      <c r="Y99" s="24" t="str">
        <f>IF(ISBLANK(Data!AG100),"",Data!AG100)</f>
        <v>Toyota Hilux 2024 4x2 SR D/C W/S</v>
      </c>
      <c r="Z99" s="18" t="str">
        <f>Data!AL100</f>
        <v>OK</v>
      </c>
      <c r="AA99" s="22">
        <f>Data!AH100</f>
        <v>45975.820354814816</v>
      </c>
      <c r="AB99" s="22">
        <f>IF(ISBLANK(Data!AI100),"",Data!AI100)</f>
        <v>45975.842345555553</v>
      </c>
    </row>
    <row r="100" spans="1:28">
      <c r="A100" s="18" t="str">
        <f>Data!A101</f>
        <v>538</v>
      </c>
      <c r="B100" s="18" t="str">
        <f>Data!C101</f>
        <v>Light Diesel Vehicles, Diesel, LDV/PE, PE</v>
      </c>
      <c r="C100" s="18" t="str">
        <f>Data!B101</f>
        <v>b111</v>
      </c>
      <c r="D100" s="18" t="str">
        <f>Data!F101</f>
        <v>Josh</v>
      </c>
      <c r="E100" s="18" t="str">
        <f>Data!G101</f>
        <v>Welch</v>
      </c>
      <c r="F100" s="18" t="str">
        <f>Data!H101</f>
        <v>josh.welch@unitedcivil.co.nz</v>
      </c>
      <c r="G100" s="18" t="str">
        <f>Data!I101</f>
        <v>Standard Hours</v>
      </c>
      <c r="H100" s="18" t="str">
        <f>Data!K101</f>
        <v>Stopped</v>
      </c>
      <c r="I100" s="18" t="b">
        <f>Data!L101</f>
        <v>0</v>
      </c>
      <c r="J100" s="19" t="str">
        <f>Data!N101</f>
        <v>91 Fisher Terrace, Te Kamo, Whangārei 0112, New Zealand</v>
      </c>
      <c r="K100" s="19">
        <f>Data!O101</f>
        <v>0</v>
      </c>
      <c r="L100" s="20">
        <f>Data!Q101</f>
        <v>69006.5</v>
      </c>
      <c r="M100" s="21">
        <f>Data!R101</f>
        <v>22.797698148148147</v>
      </c>
      <c r="N100" s="22">
        <f>Data!S101</f>
        <v>45724.48674388889</v>
      </c>
      <c r="O100" s="22">
        <f>Data!T101</f>
        <v>54789.541666666664</v>
      </c>
      <c r="P100" s="23" t="b">
        <f>OR(Data!$B$2&lt;Data!S101,Data!$B$2&gt;Data!T101)</f>
        <v>0</v>
      </c>
      <c r="Q100" s="23" t="str">
        <f>Data!J101</f>
        <v>GO Mode,Garmin,HOS,Iridium,UI</v>
      </c>
      <c r="R100" s="18" t="str">
        <f>Data!U101</f>
        <v>Version 9</v>
      </c>
      <c r="S100" s="18" t="str">
        <f>CONCATENATE(Data!V101,".",Data!W101,".",Data!X101)</f>
        <v>120.42.57</v>
      </c>
      <c r="T100" s="18" t="str">
        <f>Data!Y101</f>
        <v>G91F211C476D</v>
      </c>
      <c r="U100" s="18" t="str">
        <f>Data!Z101</f>
        <v>QJZ871</v>
      </c>
      <c r="V100" s="18">
        <f>Data!AA101</f>
        <v>0</v>
      </c>
      <c r="W100" s="18" t="str">
        <f>Data!AD101</f>
        <v>MR0JA3DD400352032</v>
      </c>
      <c r="X100" s="18" t="str">
        <f>Data!AF101</f>
        <v>Pacific/Auckland</v>
      </c>
      <c r="Y100" s="24" t="str">
        <f>IF(ISBLANK(Data!AG101),"",Data!AG101)</f>
        <v>Toyota Hilux 2024 4x2 SR D/C W/S</v>
      </c>
      <c r="Z100" s="18" t="str">
        <f>Data!AL101</f>
        <v>OK</v>
      </c>
      <c r="AA100" s="22">
        <f>Data!AH101</f>
        <v>45975.756082905093</v>
      </c>
      <c r="AB100" s="22">
        <f>IF(ISBLANK(Data!AI101),"",Data!AI101)</f>
        <v>45975.861511145835</v>
      </c>
    </row>
    <row r="101" spans="1:28">
      <c r="A101" s="18" t="str">
        <f>Data!A102</f>
        <v>539</v>
      </c>
      <c r="B101" s="18" t="str">
        <f>Data!C102</f>
        <v>Light Diesel Vehicles, Diesel, LDV/Supervisor, Supervisor</v>
      </c>
      <c r="C101" s="18" t="str">
        <f>Data!B102</f>
        <v>b10B</v>
      </c>
      <c r="D101" s="18" t="str">
        <f>Data!F102</f>
        <v>Lyle</v>
      </c>
      <c r="E101" s="18" t="str">
        <f>Data!G102</f>
        <v>McGaughey</v>
      </c>
      <c r="F101" s="18" t="str">
        <f>Data!H102</f>
        <v>lyle.mcgaughey@unitedcivil.co.nz</v>
      </c>
      <c r="G101" s="18" t="str">
        <f>Data!I102</f>
        <v>Standard Hours</v>
      </c>
      <c r="H101" s="18" t="str">
        <f>Data!K102</f>
        <v>Stopped</v>
      </c>
      <c r="I101" s="18" t="b">
        <f>Data!L102</f>
        <v>0</v>
      </c>
      <c r="J101" s="19" t="str">
        <f>Data!N102</f>
        <v>34 Fisher Terrace, Te Kamo, Whangārei 0112, New Zealand</v>
      </c>
      <c r="K101" s="19">
        <f>Data!O102</f>
        <v>0</v>
      </c>
      <c r="L101" s="20">
        <f>Data!Q102</f>
        <v>42092.5</v>
      </c>
      <c r="M101" s="21">
        <f>Data!R102</f>
        <v>14.249687164351851</v>
      </c>
      <c r="N101" s="22">
        <f>Data!S102</f>
        <v>45724.47924872685</v>
      </c>
      <c r="O101" s="22">
        <f>Data!T102</f>
        <v>54789.541666666664</v>
      </c>
      <c r="P101" s="23" t="b">
        <f>OR(Data!$B$2&lt;Data!S102,Data!$B$2&gt;Data!T102)</f>
        <v>0</v>
      </c>
      <c r="Q101" s="23" t="str">
        <f>Data!J102</f>
        <v>GO Mode,Garmin,HOS,Iridium,UI</v>
      </c>
      <c r="R101" s="18" t="str">
        <f>Data!U102</f>
        <v>Version 9</v>
      </c>
      <c r="S101" s="18" t="str">
        <f>CONCATENATE(Data!V102,".",Data!W102,".",Data!X102)</f>
        <v>120.42.57</v>
      </c>
      <c r="T101" s="18" t="str">
        <f>Data!Y102</f>
        <v>G908211C4477</v>
      </c>
      <c r="U101" s="18" t="str">
        <f>Data!Z102</f>
        <v>QJZ872</v>
      </c>
      <c r="V101" s="18">
        <f>Data!AA102</f>
        <v>0</v>
      </c>
      <c r="W101" s="18" t="str">
        <f>Data!AD102</f>
        <v>MR0JA3DD300372188</v>
      </c>
      <c r="X101" s="18" t="str">
        <f>Data!AF102</f>
        <v>Pacific/Auckland</v>
      </c>
      <c r="Y101" s="24" t="str">
        <f>IF(ISBLANK(Data!AG102),"",Data!AG102)</f>
        <v>Toyota Hilux 2024 4x2 SR D/C W/S</v>
      </c>
      <c r="Z101" s="18" t="str">
        <f>Data!AL102</f>
        <v>OK</v>
      </c>
      <c r="AA101" s="22">
        <f>Data!AH102</f>
        <v>45975.666830231479</v>
      </c>
      <c r="AB101" s="22">
        <f>IF(ISBLANK(Data!AI102),"",Data!AI102)</f>
        <v>45975.855753842596</v>
      </c>
    </row>
    <row r="102" spans="1:28">
      <c r="A102" s="18" t="str">
        <f>Data!A103</f>
        <v>540</v>
      </c>
      <c r="B102" s="18" t="str">
        <f>Data!C103</f>
        <v>Light Diesel Vehicles, Diesel, LDV/PE, PE</v>
      </c>
      <c r="C102" s="18" t="str">
        <f>Data!B103</f>
        <v>bFA</v>
      </c>
      <c r="D102" s="18" t="str">
        <f>Data!F103</f>
        <v>Cameron</v>
      </c>
      <c r="E102" s="18" t="str">
        <f>Data!G103</f>
        <v>Wood</v>
      </c>
      <c r="F102" s="18" t="str">
        <f>Data!H103</f>
        <v>cameron.wood@unitedcivil.co.nz</v>
      </c>
      <c r="G102" s="18" t="str">
        <f>Data!I103</f>
        <v>Standard Hours</v>
      </c>
      <c r="H102" s="18" t="str">
        <f>Data!K103</f>
        <v>Stopped</v>
      </c>
      <c r="I102" s="18" t="b">
        <f>Data!L103</f>
        <v>0</v>
      </c>
      <c r="J102" s="19" t="str">
        <f>Data!N103</f>
        <v>39 Whau Valley Road, Whau Valley, Whangārei 0112, New Zealand</v>
      </c>
      <c r="K102" s="19">
        <f>Data!O103</f>
        <v>0</v>
      </c>
      <c r="L102" s="20">
        <f>Data!Q103</f>
        <v>50947.1015625</v>
      </c>
      <c r="M102" s="21">
        <f>Data!R103</f>
        <v>17.012056932870369</v>
      </c>
      <c r="N102" s="22">
        <f>Data!S103</f>
        <v>45722.461458298611</v>
      </c>
      <c r="O102" s="22">
        <f>Data!T103</f>
        <v>54789.541666666664</v>
      </c>
      <c r="P102" s="23" t="b">
        <f>OR(Data!$B$2&lt;Data!S103,Data!$B$2&gt;Data!T103)</f>
        <v>0</v>
      </c>
      <c r="Q102" s="23" t="str">
        <f>Data!J103</f>
        <v>GO Mode,Garmin,HOS,Iridium,UI</v>
      </c>
      <c r="R102" s="18" t="str">
        <f>Data!U103</f>
        <v>Version 9</v>
      </c>
      <c r="S102" s="18" t="str">
        <f>CONCATENATE(Data!V103,".",Data!W103,".",Data!X103)</f>
        <v>120.42.57</v>
      </c>
      <c r="T102" s="18" t="str">
        <f>Data!Y103</f>
        <v>G98E0YZ3A48W</v>
      </c>
      <c r="U102" s="18" t="str">
        <f>Data!Z103</f>
        <v>QJZ873</v>
      </c>
      <c r="V102" s="18">
        <f>Data!AA103</f>
        <v>0</v>
      </c>
      <c r="W102" s="18" t="str">
        <f>Data!AD103</f>
        <v>MR0JA3DD200352028</v>
      </c>
      <c r="X102" s="18" t="str">
        <f>Data!AF103</f>
        <v>Pacific/Auckland</v>
      </c>
      <c r="Y102" s="24" t="str">
        <f>IF(ISBLANK(Data!AG103),"",Data!AG103)</f>
        <v>Toyota Hilux 2024 4x2 SR D/C W/S</v>
      </c>
      <c r="Z102" s="18" t="str">
        <f>Data!AL103</f>
        <v>OK</v>
      </c>
      <c r="AA102" s="22">
        <f>Data!AH103</f>
        <v>45975.593699537036</v>
      </c>
      <c r="AB102" s="22">
        <f>IF(ISBLANK(Data!AI103),"",Data!AI103)</f>
        <v>45975.844961111114</v>
      </c>
    </row>
    <row r="103" spans="1:28">
      <c r="A103" s="18" t="str">
        <f>Data!A104</f>
        <v>541</v>
      </c>
      <c r="B103" s="18" t="str">
        <f>Data!C104</f>
        <v>Electric Vehicles, Battery Electric Vehicle, EV/Other Management, Other Management</v>
      </c>
      <c r="C103" s="18" t="str">
        <f>Data!B104</f>
        <v>b185</v>
      </c>
      <c r="D103" s="18" t="str">
        <f>Data!F104</f>
        <v>Rob</v>
      </c>
      <c r="E103" s="18" t="str">
        <f>Data!G104</f>
        <v>Wilson</v>
      </c>
      <c r="F103" s="18" t="str">
        <f>Data!H104</f>
        <v>rob.wilson@unitedcivil.co.nz</v>
      </c>
      <c r="G103" s="18" t="str">
        <f>Data!I104</f>
        <v>Standard Hours</v>
      </c>
      <c r="H103" s="18" t="str">
        <f>Data!K104</f>
        <v>Stopped</v>
      </c>
      <c r="I103" s="18" t="b">
        <f>Data!L104</f>
        <v>0</v>
      </c>
      <c r="J103" s="19" t="str">
        <f>Data!N104</f>
        <v>206 Eastbourne Street East, Hastings 4122, New Zealand</v>
      </c>
      <c r="K103" s="19">
        <f>Data!O104</f>
        <v>0</v>
      </c>
      <c r="L103" s="20">
        <f>Data!Q104</f>
        <v>71307.6015625</v>
      </c>
      <c r="M103" s="21">
        <f>Data!R104</f>
        <v>11.35676255787037</v>
      </c>
      <c r="N103" s="22">
        <f>Data!S104</f>
        <v>45782.953880046298</v>
      </c>
      <c r="O103" s="22">
        <f>Data!T104</f>
        <v>54789.541666666664</v>
      </c>
      <c r="P103" s="23" t="b">
        <f>OR(Data!$B$2&lt;Data!S104,Data!$B$2&gt;Data!T104)</f>
        <v>0</v>
      </c>
      <c r="Q103" s="23" t="str">
        <f>Data!J104</f>
        <v>GO Mode,Garmin,HOS,Iridium,UI</v>
      </c>
      <c r="R103" s="18" t="str">
        <f>Data!U104</f>
        <v>Version 9</v>
      </c>
      <c r="S103" s="18" t="str">
        <f>CONCATENATE(Data!V104,".",Data!W104,".",Data!X104)</f>
        <v>120.45.22</v>
      </c>
      <c r="T103" s="18" t="str">
        <f>Data!Y104</f>
        <v>G932KFT7H2XV</v>
      </c>
      <c r="U103" s="18" t="str">
        <f>Data!Z104</f>
        <v>QJG431</v>
      </c>
      <c r="V103" s="18">
        <f>Data!AA104</f>
        <v>0</v>
      </c>
      <c r="W103" s="18" t="str">
        <f>Data!AD104</f>
        <v>LRWYHCFS7PC330682</v>
      </c>
      <c r="X103" s="18" t="str">
        <f>Data!AF104</f>
        <v>Pacific/Auckland</v>
      </c>
      <c r="Y103" s="24" t="str">
        <f>IF(ISBLANK(Data!AG104),"",Data!AG104)</f>
        <v>Tesla Model Y 2023</v>
      </c>
      <c r="Z103" s="18" t="str">
        <f>Data!AL104</f>
        <v>OK</v>
      </c>
      <c r="AA103" s="22">
        <f>Data!AH104</f>
        <v>45975.73551697917</v>
      </c>
      <c r="AB103" s="22">
        <f>IF(ISBLANK(Data!AI104),"",Data!AI104)</f>
        <v>45975.861801701387</v>
      </c>
    </row>
    <row r="104" spans="1:28">
      <c r="A104" s="18" t="str">
        <f>Data!A105</f>
        <v>542</v>
      </c>
      <c r="B104" s="18" t="str">
        <f>Data!C105</f>
        <v>Light Diesel Vehicles, Diesel, LDV/Trade Staff, Trade Staff</v>
      </c>
      <c r="C104" s="18" t="str">
        <f>Data!B105</f>
        <v>bD5</v>
      </c>
      <c r="D104" s="18" t="str">
        <f>Data!F105</f>
        <v>Matthew</v>
      </c>
      <c r="E104" s="18" t="str">
        <f>Data!G105</f>
        <v>Oud</v>
      </c>
      <c r="F104" s="18" t="str">
        <f>Data!H105</f>
        <v>matthew.oud@unitedcivil.co.nz</v>
      </c>
      <c r="G104" s="18" t="str">
        <f>Data!I105</f>
        <v>Standard Hours</v>
      </c>
      <c r="H104" s="18" t="str">
        <f>Data!K105</f>
        <v>Stopped</v>
      </c>
      <c r="I104" s="18" t="b">
        <f>Data!L105</f>
        <v>0</v>
      </c>
      <c r="J104" s="19" t="str">
        <f>Data!N105</f>
        <v>36 Waterview Ridge, Waipu 0582, New Zealand</v>
      </c>
      <c r="K104" s="19">
        <f>Data!O105</f>
        <v>0</v>
      </c>
      <c r="L104" s="20">
        <f>Data!Q105</f>
        <v>44203.80078125</v>
      </c>
      <c r="M104" s="21">
        <f>Data!R105</f>
        <v>20.047838599537037</v>
      </c>
      <c r="N104" s="22">
        <f>Data!S105</f>
        <v>45711.906285879631</v>
      </c>
      <c r="O104" s="22">
        <f>Data!T105</f>
        <v>54789.541666666664</v>
      </c>
      <c r="P104" s="23" t="b">
        <f>OR(Data!$B$2&lt;Data!S105,Data!$B$2&gt;Data!T105)</f>
        <v>0</v>
      </c>
      <c r="Q104" s="23" t="str">
        <f>Data!J105</f>
        <v>GO Mode,Garmin,HOS,Iridium,UI</v>
      </c>
      <c r="R104" s="18" t="str">
        <f>Data!U105</f>
        <v>Version 9</v>
      </c>
      <c r="S104" s="18" t="str">
        <f>CONCATENATE(Data!V105,".",Data!W105,".",Data!X105)</f>
        <v>120.42.57</v>
      </c>
      <c r="T104" s="18" t="str">
        <f>Data!Y105</f>
        <v>G991HRR5U2MA</v>
      </c>
      <c r="U104" s="18" t="str">
        <f>Data!Z105</f>
        <v>QTB354</v>
      </c>
      <c r="V104" s="18">
        <f>Data!AA105</f>
        <v>0</v>
      </c>
      <c r="W104" s="18" t="str">
        <f>Data!AD105</f>
        <v>MR0KA3CC501181914</v>
      </c>
      <c r="X104" s="18" t="str">
        <f>Data!AF105</f>
        <v>Pacific/Auckland</v>
      </c>
      <c r="Y104" s="24" t="str">
        <f>IF(ISBLANK(Data!AG105),"",Data!AG105)</f>
        <v>Toyota Hilux 2024 SR 2.8DT 6MT 4WD</v>
      </c>
      <c r="Z104" s="18" t="str">
        <f>Data!AL105</f>
        <v>OK</v>
      </c>
      <c r="AA104" s="22">
        <f>Data!AH105</f>
        <v>45975.819888668979</v>
      </c>
      <c r="AB104" s="22">
        <f>IF(ISBLANK(Data!AI105),"",Data!AI105)</f>
        <v>45975.862851631944</v>
      </c>
    </row>
    <row r="105" spans="1:28">
      <c r="A105" s="18" t="str">
        <f>Data!A106</f>
        <v>543</v>
      </c>
      <c r="B105" s="18" t="str">
        <f>Data!C106</f>
        <v>Electric Vehicles, Battery Electric Vehicle, EV/Other Management, Other Management</v>
      </c>
      <c r="C105" s="18" t="str">
        <f>Data!B106</f>
        <v>bE0</v>
      </c>
      <c r="D105" s="18" t="str">
        <f>Data!F106</f>
        <v>Lee</v>
      </c>
      <c r="E105" s="18" t="str">
        <f>Data!G106</f>
        <v>Clasper</v>
      </c>
      <c r="F105" s="18" t="str">
        <f>Data!H106</f>
        <v>lee.clasper@unitedcivil.co.nz</v>
      </c>
      <c r="G105" s="18" t="str">
        <f>Data!I106</f>
        <v>Standard Hours</v>
      </c>
      <c r="H105" s="18" t="str">
        <f>Data!K106</f>
        <v>Stopped</v>
      </c>
      <c r="I105" s="18" t="b">
        <f>Data!L106</f>
        <v>0</v>
      </c>
      <c r="J105" s="19" t="str">
        <f>Data!N106</f>
        <v>147 Kirkbride Road, Māngere, Auckland 2022, New Zealand</v>
      </c>
      <c r="K105" s="19">
        <f>Data!O106</f>
        <v>0</v>
      </c>
      <c r="L105" s="20">
        <f>Data!Q106</f>
        <v>26803.47265625</v>
      </c>
      <c r="M105" s="21">
        <f>Data!R106</f>
        <v>10.607787581018519</v>
      </c>
      <c r="N105" s="22">
        <f>Data!S106</f>
        <v>45711.985872928242</v>
      </c>
      <c r="O105" s="22">
        <f>Data!T106</f>
        <v>54789.541666666664</v>
      </c>
      <c r="P105" s="23" t="b">
        <f>OR(Data!$B$2&lt;Data!S106,Data!$B$2&gt;Data!T106)</f>
        <v>0</v>
      </c>
      <c r="Q105" s="23" t="str">
        <f>Data!J106</f>
        <v>GO Mode,Garmin,HOS,Iridium,UI</v>
      </c>
      <c r="R105" s="18" t="str">
        <f>Data!U106</f>
        <v>Version 9</v>
      </c>
      <c r="S105" s="18" t="str">
        <f>CONCATENATE(Data!V106,".",Data!W106,".",Data!X106)</f>
        <v>120.45.22</v>
      </c>
      <c r="T105" s="18" t="str">
        <f>Data!Y106</f>
        <v>G9113W9ERJNU</v>
      </c>
      <c r="U105" s="18" t="str">
        <f>Data!Z106</f>
        <v>QMT235</v>
      </c>
      <c r="V105" s="18">
        <f>Data!AA106</f>
        <v>0</v>
      </c>
      <c r="W105" s="18" t="str">
        <f>Data!AD106</f>
        <v>LRWYHCFS2PC345803</v>
      </c>
      <c r="X105" s="18" t="str">
        <f>Data!AF106</f>
        <v>Pacific/Auckland</v>
      </c>
      <c r="Y105" s="24" t="str">
        <f>IF(ISBLANK(Data!AG106),"",Data!AG106)</f>
        <v>Tesla Model Y 2024</v>
      </c>
      <c r="Z105" s="18" t="str">
        <f>Data!AL106</f>
        <v>OK</v>
      </c>
      <c r="AA105" s="22">
        <f>Data!AH106</f>
        <v>45975.493037372682</v>
      </c>
      <c r="AB105" s="22">
        <f>IF(ISBLANK(Data!AI106),"",Data!AI106)</f>
        <v>45975.844171631943</v>
      </c>
    </row>
    <row r="106" spans="1:28">
      <c r="A106" s="18" t="str">
        <f>Data!A107</f>
        <v>544</v>
      </c>
      <c r="B106" s="18" t="str">
        <f>Data!C107</f>
        <v>Electric Vehicles, Battery Electric Vehicle, EV/Other Management, Other Management</v>
      </c>
      <c r="C106" s="18" t="str">
        <f>Data!B107</f>
        <v>bD0</v>
      </c>
      <c r="D106" s="18" t="str">
        <f>Data!F107</f>
        <v>Alex</v>
      </c>
      <c r="E106" s="18" t="str">
        <f>Data!G107</f>
        <v>Fitch</v>
      </c>
      <c r="F106" s="18" t="str">
        <f>Data!H107</f>
        <v>alex.fitch@unitedcivil.co.nz</v>
      </c>
      <c r="G106" s="18" t="str">
        <f>Data!I107</f>
        <v>Standard Hours</v>
      </c>
      <c r="H106" s="18" t="str">
        <f>Data!K107</f>
        <v>Stopped</v>
      </c>
      <c r="I106" s="18" t="b">
        <f>Data!L107</f>
        <v>0</v>
      </c>
      <c r="J106" s="19" t="str">
        <f>Data!N107</f>
        <v>79 Maturiki Drive, Ruakākā 0118, New Zealand</v>
      </c>
      <c r="K106" s="19">
        <f>Data!O107</f>
        <v>0</v>
      </c>
      <c r="L106" s="20">
        <f>Data!Q107</f>
        <v>47477.80078125</v>
      </c>
      <c r="M106" s="21">
        <f>Data!R107</f>
        <v>16.088364166666668</v>
      </c>
      <c r="N106" s="22">
        <f>Data!S107</f>
        <v>45711.903354722221</v>
      </c>
      <c r="O106" s="22">
        <f>Data!T107</f>
        <v>54789.541666666664</v>
      </c>
      <c r="P106" s="23" t="b">
        <f>OR(Data!$B$2&lt;Data!S107,Data!$B$2&gt;Data!T107)</f>
        <v>0</v>
      </c>
      <c r="Q106" s="23" t="str">
        <f>Data!J107</f>
        <v>GO Mode,Garmin,HOS,Iridium,UI</v>
      </c>
      <c r="R106" s="18" t="str">
        <f>Data!U107</f>
        <v>Version 9</v>
      </c>
      <c r="S106" s="18" t="str">
        <f>CONCATENATE(Data!V107,".",Data!W107,".",Data!X107)</f>
        <v>120.45.22</v>
      </c>
      <c r="T106" s="18" t="str">
        <f>Data!Y107</f>
        <v>G9M0WCRBKFC8</v>
      </c>
      <c r="U106" s="18" t="str">
        <f>Data!Z107</f>
        <v>QMT236</v>
      </c>
      <c r="V106" s="18">
        <f>Data!AA107</f>
        <v>0</v>
      </c>
      <c r="W106" s="18" t="str">
        <f>Data!AD107</f>
        <v>LRWYHCFS3PC345793</v>
      </c>
      <c r="X106" s="18" t="str">
        <f>Data!AF107</f>
        <v>Pacific/Auckland</v>
      </c>
      <c r="Y106" s="24" t="str">
        <f>IF(ISBLANK(Data!AG107),"",Data!AG107)</f>
        <v>Tesla Model Y 2024</v>
      </c>
      <c r="Z106" s="18" t="str">
        <f>Data!AL107</f>
        <v>OK</v>
      </c>
      <c r="AA106" s="22">
        <f>Data!AH107</f>
        <v>45975.777216111113</v>
      </c>
      <c r="AB106" s="22">
        <f>IF(ISBLANK(Data!AI107),"",Data!AI107)</f>
        <v>45975.86181101852</v>
      </c>
    </row>
    <row r="107" spans="1:28">
      <c r="A107" s="18" t="str">
        <f>Data!A108</f>
        <v>545</v>
      </c>
      <c r="B107" s="18" t="str">
        <f>Data!C108</f>
        <v>Electric Vehicles, Battery Electric Vehicle, EV/PE</v>
      </c>
      <c r="C107" s="18" t="str">
        <f>Data!B108</f>
        <v>b18E</v>
      </c>
      <c r="D107" s="18" t="str">
        <f>Data!F108</f>
        <v>Akash</v>
      </c>
      <c r="E107" s="18" t="str">
        <f>Data!G108</f>
        <v>Nada</v>
      </c>
      <c r="F107" s="18" t="str">
        <f>Data!H108</f>
        <v>akash.nada@unitedcivil.co.nz</v>
      </c>
      <c r="G107" s="18" t="str">
        <f>Data!I108</f>
        <v>Standard Hours</v>
      </c>
      <c r="H107" s="18" t="str">
        <f>Data!K108</f>
        <v>Stopped</v>
      </c>
      <c r="I107" s="18" t="b">
        <f>Data!L108</f>
        <v>0</v>
      </c>
      <c r="J107" s="19" t="str">
        <f>Data!N108</f>
        <v>103 Kiripaka Road, Tikipunga, Whangārei 0112, New Zealand</v>
      </c>
      <c r="K107" s="19">
        <f>Data!O108</f>
        <v>0</v>
      </c>
      <c r="L107" s="20">
        <f>Data!Q108</f>
        <v>18931.236328125</v>
      </c>
      <c r="M107" s="21">
        <f>Data!R108</f>
        <v>21.753254050925925</v>
      </c>
      <c r="N107" s="22">
        <f>Data!S108</f>
        <v>45782.955294421299</v>
      </c>
      <c r="O107" s="22">
        <f>Data!T108</f>
        <v>54789.541666666664</v>
      </c>
      <c r="P107" s="23" t="b">
        <f>OR(Data!$B$2&lt;Data!S108,Data!$B$2&gt;Data!T108)</f>
        <v>0</v>
      </c>
      <c r="Q107" s="23" t="str">
        <f>Data!J108</f>
        <v>GO Mode,Garmin,HOS,Iridium,UI</v>
      </c>
      <c r="R107" s="18" t="str">
        <f>Data!U108</f>
        <v>Version 9</v>
      </c>
      <c r="S107" s="18" t="str">
        <f>CONCATENATE(Data!V108,".",Data!W108,".",Data!X108)</f>
        <v>120.42.57</v>
      </c>
      <c r="T107" s="18" t="str">
        <f>Data!Y108</f>
        <v>G93RP31XZ50R</v>
      </c>
      <c r="U107" s="18" t="str">
        <f>Data!Z108</f>
        <v>QHD437</v>
      </c>
      <c r="V107" s="18">
        <f>Data!AA108</f>
        <v>0</v>
      </c>
      <c r="W107" s="18" t="str">
        <f>Data!AD108</f>
        <v>LGXCE4CB9P2133795</v>
      </c>
      <c r="X107" s="18" t="str">
        <f>Data!AF108</f>
        <v>Pacific/Auckland</v>
      </c>
      <c r="Y107" s="24" t="str">
        <f>IF(ISBLANK(Data!AG108),"",Data!AG108)</f>
        <v>BYD Atto 3 2023 Extended Range</v>
      </c>
      <c r="Z107" s="18" t="str">
        <f>Data!AL108</f>
        <v>OK</v>
      </c>
      <c r="AA107" s="22">
        <f>Data!AH108</f>
        <v>45975.822999861113</v>
      </c>
      <c r="AB107" s="22">
        <f>IF(ISBLANK(Data!AI108),"",Data!AI108)</f>
        <v>45975.856286898146</v>
      </c>
    </row>
    <row r="108" spans="1:28">
      <c r="A108" s="18" t="str">
        <f>Data!A109</f>
        <v>546</v>
      </c>
      <c r="B108" s="18" t="str">
        <f>Data!C109</f>
        <v>Light Petrol Vehicles, Gasoline or Petrol, BYD, LPV/PM, Other Management</v>
      </c>
      <c r="C108" s="18" t="str">
        <f>Data!B109</f>
        <v>b130</v>
      </c>
      <c r="D108" s="18" t="str">
        <f>Data!F109</f>
        <v>Jacob</v>
      </c>
      <c r="E108" s="18" t="str">
        <f>Data!G109</f>
        <v>Dunn</v>
      </c>
      <c r="F108" s="18" t="str">
        <f>Data!H109</f>
        <v>jacob.dunn@unitedcivil.co.nz</v>
      </c>
      <c r="G108" s="18" t="str">
        <f>Data!I109</f>
        <v>Standard Hours</v>
      </c>
      <c r="H108" s="18" t="str">
        <f>Data!K109</f>
        <v>Stopped</v>
      </c>
      <c r="I108" s="18" t="b">
        <f>Data!L109</f>
        <v>0</v>
      </c>
      <c r="J108" s="19" t="str">
        <f>Data!N109</f>
        <v>18 Charis Lane, Wellsford 0975, New Zealand</v>
      </c>
      <c r="K108" s="19">
        <f>Data!O109</f>
        <v>0</v>
      </c>
      <c r="L108" s="20">
        <f>Data!Q109</f>
        <v>29063</v>
      </c>
      <c r="M108" s="21">
        <f>Data!R109</f>
        <v>18.013733333333334</v>
      </c>
      <c r="N108" s="22">
        <f>Data!S109</f>
        <v>45737.985999178243</v>
      </c>
      <c r="O108" s="22">
        <f>Data!T109</f>
        <v>54789.541666666664</v>
      </c>
      <c r="P108" s="23" t="b">
        <f>OR(Data!$B$2&lt;Data!S109,Data!$B$2&gt;Data!T109)</f>
        <v>0</v>
      </c>
      <c r="Q108" s="23" t="str">
        <f>Data!J109</f>
        <v>GO Mode,Garmin,HOS,Iridium,UI</v>
      </c>
      <c r="R108" s="18" t="str">
        <f>Data!U109</f>
        <v>Version 9</v>
      </c>
      <c r="S108" s="18" t="str">
        <f>CONCATENATE(Data!V109,".",Data!W109,".",Data!X109)</f>
        <v>120.45.22</v>
      </c>
      <c r="T108" s="18" t="str">
        <f>Data!Y109</f>
        <v>G9894E1HHXR6</v>
      </c>
      <c r="U108" s="18" t="str">
        <f>Data!Z109</f>
        <v>RBL829</v>
      </c>
      <c r="V108" s="18">
        <f>Data!AA109</f>
        <v>0</v>
      </c>
      <c r="W108" s="18" t="str">
        <f>Data!AD109</f>
        <v>LPE19W2A6SF058371</v>
      </c>
      <c r="X108" s="18" t="str">
        <f>Data!AF109</f>
        <v>Pacific/Auckland</v>
      </c>
      <c r="Y108" s="24" t="str">
        <f>IF(ISBLANK(Data!AG109),"",Data!AG109)</f>
        <v>BYD Shark 2025</v>
      </c>
      <c r="Z108" s="18" t="str">
        <f>Data!AL109</f>
        <v>OK</v>
      </c>
      <c r="AA108" s="22">
        <f>Data!AH109</f>
        <v>45975.728738726852</v>
      </c>
      <c r="AB108" s="22">
        <f>IF(ISBLANK(Data!AI109),"",Data!AI109)</f>
        <v>45975.858588263887</v>
      </c>
    </row>
    <row r="109" spans="1:28">
      <c r="A109" s="18" t="str">
        <f>Data!A110</f>
        <v>547</v>
      </c>
      <c r="B109" s="18" t="str">
        <f>Data!C110</f>
        <v>Light Petrol Vehicles, Gasoline or Petrol, LPV/PM, PM</v>
      </c>
      <c r="C109" s="18" t="str">
        <f>Data!B110</f>
        <v>b131</v>
      </c>
      <c r="D109" s="18" t="str">
        <f>Data!F110</f>
        <v>Grant</v>
      </c>
      <c r="E109" s="18" t="str">
        <f>Data!G110</f>
        <v>Little</v>
      </c>
      <c r="F109" s="18" t="str">
        <f>Data!H110</f>
        <v>grant.little@unitedcivil.co.nz</v>
      </c>
      <c r="G109" s="18" t="str">
        <f>Data!I110</f>
        <v>Standard Hours</v>
      </c>
      <c r="H109" s="18" t="str">
        <f>Data!K110</f>
        <v>Stopped</v>
      </c>
      <c r="I109" s="18" t="b">
        <f>Data!L110</f>
        <v>0</v>
      </c>
      <c r="J109" s="19" t="str">
        <f>Data!N110</f>
        <v>97 Hospital Road, Horahora, Whangārei 0110, New Zealand</v>
      </c>
      <c r="K109" s="19">
        <f>Data!O110</f>
        <v>0</v>
      </c>
      <c r="L109" s="20">
        <f>Data!Q110</f>
        <v>8705</v>
      </c>
      <c r="M109" s="21">
        <f>Data!R110</f>
        <v>11.12204025462963</v>
      </c>
      <c r="N109" s="22">
        <f>Data!S110</f>
        <v>45737.986430393517</v>
      </c>
      <c r="O109" s="22">
        <f>Data!T110</f>
        <v>54789.541666666664</v>
      </c>
      <c r="P109" s="23" t="b">
        <f>OR(Data!$B$2&lt;Data!S110,Data!$B$2&gt;Data!T110)</f>
        <v>0</v>
      </c>
      <c r="Q109" s="23" t="str">
        <f>Data!J110</f>
        <v>GO Mode,Garmin,HOS,Iridium,UI</v>
      </c>
      <c r="R109" s="18" t="str">
        <f>Data!U110</f>
        <v>Version 9</v>
      </c>
      <c r="S109" s="18" t="str">
        <f>CONCATENATE(Data!V110,".",Data!W110,".",Data!X110)</f>
        <v>120.42.57</v>
      </c>
      <c r="T109" s="18" t="str">
        <f>Data!Y110</f>
        <v>G90XZ7AP9EJY</v>
      </c>
      <c r="U109" s="18" t="str">
        <f>Data!Z110</f>
        <v>RBL830</v>
      </c>
      <c r="V109" s="18">
        <f>Data!AA110</f>
        <v>0</v>
      </c>
      <c r="W109" s="18" t="str">
        <f>Data!AD110</f>
        <v>LPE19W2A4SF058434</v>
      </c>
      <c r="X109" s="18" t="str">
        <f>Data!AF110</f>
        <v>Pacific/Auckland</v>
      </c>
      <c r="Y109" s="24" t="str">
        <f>IF(ISBLANK(Data!AG110),"",Data!AG110)</f>
        <v>BYD Shark 2025</v>
      </c>
      <c r="Z109" s="18" t="str">
        <f>Data!AL110</f>
        <v>OK</v>
      </c>
      <c r="AA109" s="22">
        <f>Data!AH110</f>
        <v>45975.850509490738</v>
      </c>
      <c r="AB109" s="22">
        <f>IF(ISBLANK(Data!AI110),"",Data!AI110)</f>
        <v>45975.850775694445</v>
      </c>
    </row>
    <row r="110" spans="1:28">
      <c r="A110" s="18" t="str">
        <f>Data!A111</f>
        <v>548</v>
      </c>
      <c r="B110" s="18" t="str">
        <f>Data!C111</f>
        <v>Electric Vehicles, Battery Electric Vehicle</v>
      </c>
      <c r="C110" s="18" t="str">
        <f>Data!B111</f>
        <v>b19A</v>
      </c>
      <c r="D110" s="18" t="str">
        <f>Data!F111</f>
        <v>Paul</v>
      </c>
      <c r="E110" s="18" t="str">
        <f>Data!G111</f>
        <v>Mandeno</v>
      </c>
      <c r="F110" s="18" t="str">
        <f>Data!H111</f>
        <v>paul.mandeno@unitedcivil.co.nz</v>
      </c>
      <c r="G110" s="18" t="str">
        <f>Data!I111</f>
        <v>Standard Hours</v>
      </c>
      <c r="H110" s="18" t="str">
        <f>Data!K111</f>
        <v>Stopped</v>
      </c>
      <c r="I110" s="18" t="b">
        <f>Data!L111</f>
        <v>0</v>
      </c>
      <c r="J110" s="19" t="str">
        <f>Data!N111</f>
        <v>United Civil Head Office: 19B Rewa Rewa Road, Raumanga, Whangārei 0110, New Zealand</v>
      </c>
      <c r="K110" s="19" t="str">
        <f>Data!O111</f>
        <v>Office Zone</v>
      </c>
      <c r="L110" s="20">
        <f>Data!Q111</f>
        <v>22861</v>
      </c>
      <c r="M110" s="21">
        <f>Data!R111</f>
        <v>6.7180999074074075</v>
      </c>
      <c r="N110" s="22">
        <f>Data!S111</f>
        <v>45782.955741620368</v>
      </c>
      <c r="O110" s="22">
        <f>Data!T111</f>
        <v>54789.541666666664</v>
      </c>
      <c r="P110" s="23" t="b">
        <f>OR(Data!$B$2&lt;Data!S111,Data!$B$2&gt;Data!T111)</f>
        <v>0</v>
      </c>
      <c r="Q110" s="23" t="str">
        <f>Data!J111</f>
        <v>GO Mode,Garmin,HOS,Iridium,UI</v>
      </c>
      <c r="R110" s="18" t="str">
        <f>Data!U111</f>
        <v>Version 9</v>
      </c>
      <c r="S110" s="18" t="str">
        <f>CONCATENATE(Data!V111,".",Data!W111,".",Data!X111)</f>
        <v>120.42.59</v>
      </c>
      <c r="T110" s="18" t="str">
        <f>Data!Y111</f>
        <v>G9JM2ABSFY81</v>
      </c>
      <c r="U110" s="18">
        <f>Data!Z111</f>
        <v>0</v>
      </c>
      <c r="V110" s="18">
        <f>Data!AA111</f>
        <v>0</v>
      </c>
      <c r="W110" s="18" t="str">
        <f>Data!AD111</f>
        <v>LRWYHCFS4NC518752</v>
      </c>
      <c r="X110" s="18" t="str">
        <f>Data!AF111</f>
        <v>Pacific/Auckland</v>
      </c>
      <c r="Y110" s="24" t="str">
        <f>IF(ISBLANK(Data!AG111),"",Data!AG111)</f>
        <v>Tesla Model Y 2022</v>
      </c>
      <c r="Z110" s="18" t="str">
        <f>Data!AL111</f>
        <v>OK</v>
      </c>
      <c r="AA110" s="22">
        <f>Data!AH111</f>
        <v>45975.323254606483</v>
      </c>
      <c r="AB110" s="22">
        <f>IF(ISBLANK(Data!AI111),"",Data!AI111)</f>
        <v>45975.845465254628</v>
      </c>
    </row>
    <row r="111" spans="1:28">
      <c r="A111" s="18" t="str">
        <f>Data!A112</f>
        <v>549</v>
      </c>
      <c r="B111" s="18" t="str">
        <f>Data!C112</f>
        <v>Light Diesel Vehicles, Diesel, LDV/Supervisor, Supervisor</v>
      </c>
      <c r="C111" s="18" t="str">
        <f>Data!B112</f>
        <v>b1A0</v>
      </c>
      <c r="D111" s="18">
        <f>Data!F112</f>
        <v>0</v>
      </c>
      <c r="E111" s="18">
        <f>Data!G112</f>
        <v>0</v>
      </c>
      <c r="F111" s="18">
        <f>Data!H112</f>
        <v>0</v>
      </c>
      <c r="G111" s="18" t="str">
        <f>Data!I112</f>
        <v>Standard Hours</v>
      </c>
      <c r="H111" s="18" t="str">
        <f>Data!K112</f>
        <v>Stopped</v>
      </c>
      <c r="I111" s="18" t="b">
        <f>Data!L112</f>
        <v>0</v>
      </c>
      <c r="J111" s="19" t="str">
        <f>Data!N112</f>
        <v>5 View Street, Maungaturoto 0520, New Zealand</v>
      </c>
      <c r="K111" s="19">
        <f>Data!O112</f>
        <v>0</v>
      </c>
      <c r="L111" s="20">
        <f>Data!Q112</f>
        <v>33038.6015625</v>
      </c>
      <c r="M111" s="21">
        <f>Data!R112</f>
        <v>24.701792268518517</v>
      </c>
      <c r="N111" s="22">
        <f>Data!S112</f>
        <v>45782.95974395833</v>
      </c>
      <c r="O111" s="22">
        <f>Data!T112</f>
        <v>54789.541666666664</v>
      </c>
      <c r="P111" s="23" t="b">
        <f>OR(Data!$B$2&lt;Data!S112,Data!$B$2&gt;Data!T112)</f>
        <v>0</v>
      </c>
      <c r="Q111" s="23" t="str">
        <f>Data!J112</f>
        <v>GO Mode,Garmin,HOS,Iridium,UI</v>
      </c>
      <c r="R111" s="18" t="str">
        <f>Data!U112</f>
        <v>Version 9</v>
      </c>
      <c r="S111" s="18" t="str">
        <f>CONCATENATE(Data!V112,".",Data!W112,".",Data!X112)</f>
        <v>120.42.57</v>
      </c>
      <c r="T111" s="18" t="str">
        <f>Data!Y112</f>
        <v>G9AJKJ1K3S69</v>
      </c>
      <c r="U111" s="18" t="str">
        <f>Data!Z112</f>
        <v>RET187</v>
      </c>
      <c r="V111" s="18">
        <f>Data!AA112</f>
        <v>0</v>
      </c>
      <c r="W111" s="18" t="str">
        <f>Data!AD112</f>
        <v>MR0JA3DD500354310</v>
      </c>
      <c r="X111" s="18" t="str">
        <f>Data!AF112</f>
        <v>Pacific/Auckland</v>
      </c>
      <c r="Y111" s="24" t="str">
        <f>IF(ISBLANK(Data!AG112),"",Data!AG112)</f>
        <v>Toyota Hilux 2025 4x2 SR D/C W/S</v>
      </c>
      <c r="Z111" s="18" t="str">
        <f>Data!AL112</f>
        <v>OK</v>
      </c>
      <c r="AA111" s="22">
        <f>Data!AH112</f>
        <v>45975.808521886574</v>
      </c>
      <c r="AB111" s="22">
        <f>IF(ISBLANK(Data!AI112),"",Data!AI112)</f>
        <v>45975.851380682871</v>
      </c>
    </row>
    <row r="112" spans="1:28">
      <c r="A112" s="18" t="str">
        <f>Data!A113</f>
        <v>550</v>
      </c>
      <c r="B112" s="18" t="str">
        <f>Data!C113</f>
        <v>Light Diesel Vehicles, Diesel, LDV/Supervisor, Supervisor</v>
      </c>
      <c r="C112" s="18" t="str">
        <f>Data!B113</f>
        <v>b198</v>
      </c>
      <c r="D112" s="18" t="str">
        <f>Data!F113</f>
        <v>Andrew</v>
      </c>
      <c r="E112" s="18" t="str">
        <f>Data!G113</f>
        <v>Davidson</v>
      </c>
      <c r="F112" s="18" t="str">
        <f>Data!H113</f>
        <v>andrew.davidson@unitedcivil.co.nz</v>
      </c>
      <c r="G112" s="18" t="str">
        <f>Data!I113</f>
        <v>Standard Hours</v>
      </c>
      <c r="H112" s="18" t="str">
        <f>Data!K113</f>
        <v>Stopped</v>
      </c>
      <c r="I112" s="18" t="b">
        <f>Data!L113</f>
        <v>0</v>
      </c>
      <c r="J112" s="19" t="str">
        <f>Data!N113</f>
        <v>64B Mission Road, Kerikeri 0230, New Zealand</v>
      </c>
      <c r="K112" s="19">
        <f>Data!O113</f>
        <v>0</v>
      </c>
      <c r="L112" s="20">
        <f>Data!Q113</f>
        <v>19603.599609375</v>
      </c>
      <c r="M112" s="21">
        <f>Data!R113</f>
        <v>11.821996759259259</v>
      </c>
      <c r="N112" s="22">
        <f>Data!S113</f>
        <v>45782.960964976854</v>
      </c>
      <c r="O112" s="22">
        <f>Data!T113</f>
        <v>54789.541666666664</v>
      </c>
      <c r="P112" s="23" t="b">
        <f>OR(Data!$B$2&lt;Data!S113,Data!$B$2&gt;Data!T113)</f>
        <v>0</v>
      </c>
      <c r="Q112" s="23" t="str">
        <f>Data!J113</f>
        <v>GO Mode,Garmin,HOS,Iridium,UI</v>
      </c>
      <c r="R112" s="18" t="str">
        <f>Data!U113</f>
        <v>Version 9</v>
      </c>
      <c r="S112" s="18" t="str">
        <f>CONCATENATE(Data!V113,".",Data!W113,".",Data!X113)</f>
        <v>120.42.57</v>
      </c>
      <c r="T112" s="18" t="str">
        <f>Data!Y113</f>
        <v>G9VD2462W5YR</v>
      </c>
      <c r="U112" s="18" t="str">
        <f>Data!Z113</f>
        <v>RET188</v>
      </c>
      <c r="V112" s="18">
        <f>Data!AA113</f>
        <v>0</v>
      </c>
      <c r="W112" s="18" t="str">
        <f>Data!AD113</f>
        <v>MR0JA3DD500354307</v>
      </c>
      <c r="X112" s="18" t="str">
        <f>Data!AF113</f>
        <v>Pacific/Auckland</v>
      </c>
      <c r="Y112" s="24" t="str">
        <f>IF(ISBLANK(Data!AG113),"",Data!AG113)</f>
        <v>Toyota Hilux 2025 4x2 SR D/C W/S</v>
      </c>
      <c r="Z112" s="18" t="str">
        <f>Data!AL113</f>
        <v>OK</v>
      </c>
      <c r="AA112" s="22">
        <f>Data!AH113</f>
        <v>45973.73670465278</v>
      </c>
      <c r="AB112" s="22">
        <f>IF(ISBLANK(Data!AI113),"",Data!AI113)</f>
        <v>45975.842098171299</v>
      </c>
    </row>
    <row r="113" spans="1:28">
      <c r="A113" s="18" t="str">
        <f>Data!A114</f>
        <v>551</v>
      </c>
      <c r="B113" s="18" t="str">
        <f>Data!C114</f>
        <v>Light Diesel Vehicles, Diesel, LDV/PE</v>
      </c>
      <c r="C113" s="18" t="str">
        <f>Data!B114</f>
        <v>b192</v>
      </c>
      <c r="D113" s="18" t="str">
        <f>Data!F114</f>
        <v>Oliver</v>
      </c>
      <c r="E113" s="18" t="str">
        <f>Data!G114</f>
        <v>Copsey</v>
      </c>
      <c r="F113" s="18" t="str">
        <f>Data!H114</f>
        <v>oliver.copsey@unitedcivil.co.nz</v>
      </c>
      <c r="G113" s="18" t="str">
        <f>Data!I114</f>
        <v>Standard Hours</v>
      </c>
      <c r="H113" s="18" t="str">
        <f>Data!K114</f>
        <v>Stopped</v>
      </c>
      <c r="I113" s="18" t="b">
        <f>Data!L114</f>
        <v>0</v>
      </c>
      <c r="J113" s="19" t="str">
        <f>Data!N114</f>
        <v>63 Freyberg Avenue, Tamatea, Napier 4112, New Zealand</v>
      </c>
      <c r="K113" s="19">
        <f>Data!O114</f>
        <v>0</v>
      </c>
      <c r="L113" s="20">
        <f>Data!Q114</f>
        <v>8934.7998046875</v>
      </c>
      <c r="M113" s="21">
        <f>Data!R114</f>
        <v>6.937152592592593</v>
      </c>
      <c r="N113" s="22">
        <f>Data!S114</f>
        <v>45782.960266724534</v>
      </c>
      <c r="O113" s="22">
        <f>Data!T114</f>
        <v>54789.541666666664</v>
      </c>
      <c r="P113" s="23" t="b">
        <f>OR(Data!$B$2&lt;Data!S114,Data!$B$2&gt;Data!T114)</f>
        <v>0</v>
      </c>
      <c r="Q113" s="23" t="str">
        <f>Data!J114</f>
        <v>GO Mode,Garmin,HOS,Iridium,UI</v>
      </c>
      <c r="R113" s="18" t="str">
        <f>Data!U114</f>
        <v>Version 9</v>
      </c>
      <c r="S113" s="18" t="str">
        <f>CONCATENATE(Data!V114,".",Data!W114,".",Data!X114)</f>
        <v>120.42.57</v>
      </c>
      <c r="T113" s="18" t="str">
        <f>Data!Y114</f>
        <v>G9HU6STFR23U</v>
      </c>
      <c r="U113" s="18" t="str">
        <f>Data!Z114</f>
        <v>RET189</v>
      </c>
      <c r="V113" s="18">
        <f>Data!AA114</f>
        <v>0</v>
      </c>
      <c r="W113" s="18" t="str">
        <f>Data!AD114</f>
        <v>MR0JA3DD700354308</v>
      </c>
      <c r="X113" s="18" t="str">
        <f>Data!AF114</f>
        <v>Pacific/Auckland</v>
      </c>
      <c r="Y113" s="24" t="str">
        <f>IF(ISBLANK(Data!AG114),"",Data!AG114)</f>
        <v>New Toyota Hilux</v>
      </c>
      <c r="Z113" s="18" t="str">
        <f>Data!AL114</f>
        <v>OK</v>
      </c>
      <c r="AA113" s="22">
        <f>Data!AH114</f>
        <v>45975.745570347222</v>
      </c>
      <c r="AB113" s="22">
        <f>IF(ISBLANK(Data!AI114),"",Data!AI114)</f>
        <v>45975.851021736111</v>
      </c>
    </row>
    <row r="114" spans="1:28">
      <c r="A114" s="18" t="str">
        <f>Data!A115</f>
        <v>552</v>
      </c>
      <c r="B114" s="18" t="str">
        <f>Data!C115</f>
        <v>Light Petrol Vehicles, Gasoline or Petrol, LPV/PM</v>
      </c>
      <c r="C114" s="18" t="str">
        <f>Data!B115</f>
        <v>b218</v>
      </c>
      <c r="D114" s="18" t="str">
        <f>Data!F115</f>
        <v>Brent</v>
      </c>
      <c r="E114" s="18" t="str">
        <f>Data!G115</f>
        <v>Cross</v>
      </c>
      <c r="F114" s="18" t="str">
        <f>Data!H115</f>
        <v>brent.cross@unitedcivil.co.nz</v>
      </c>
      <c r="G114" s="18" t="str">
        <f>Data!I115</f>
        <v>Standard Hours</v>
      </c>
      <c r="H114" s="18" t="str">
        <f>Data!K115</f>
        <v>Stopped</v>
      </c>
      <c r="I114" s="18" t="b">
        <f>Data!L115</f>
        <v>0</v>
      </c>
      <c r="J114" s="19" t="str">
        <f>Data!N115</f>
        <v>96 Fourth Avenue, Woodhill, Whangārei 0110, New Zealand</v>
      </c>
      <c r="K114" s="19">
        <f>Data!O115</f>
        <v>0</v>
      </c>
      <c r="L114" s="20">
        <f>Data!Q115</f>
        <v>5671</v>
      </c>
      <c r="M114" s="21">
        <f>Data!R115</f>
        <v>5.5893251620370368</v>
      </c>
      <c r="N114" s="22">
        <f>Data!S115</f>
        <v>45847.411087025466</v>
      </c>
      <c r="O114" s="22">
        <f>Data!T115</f>
        <v>54789.541666666664</v>
      </c>
      <c r="P114" s="23" t="b">
        <f>OR(Data!$B$2&lt;Data!S115,Data!$B$2&gt;Data!T115)</f>
        <v>0</v>
      </c>
      <c r="Q114" s="23" t="str">
        <f>Data!J115</f>
        <v>GO Mode,Garmin,HOS,Iridium,UI</v>
      </c>
      <c r="R114" s="18" t="str">
        <f>Data!U115</f>
        <v>Version 9</v>
      </c>
      <c r="S114" s="18" t="str">
        <f>CONCATENATE(Data!V115,".",Data!W115,".",Data!X115)</f>
        <v>120.42.57</v>
      </c>
      <c r="T114" s="18" t="str">
        <f>Data!Y115</f>
        <v>G9U6DX7V59F6</v>
      </c>
      <c r="U114" s="18" t="str">
        <f>Data!Z115</f>
        <v>RFN414</v>
      </c>
      <c r="V114" s="18">
        <f>Data!AA115</f>
        <v>0</v>
      </c>
      <c r="W114" s="18" t="str">
        <f>Data!AD115</f>
        <v>LPE19W2A2SF199146</v>
      </c>
      <c r="X114" s="18" t="str">
        <f>Data!AF115</f>
        <v>Pacific/Auckland</v>
      </c>
      <c r="Y114" s="24" t="str">
        <f>IF(ISBLANK(Data!AG115),"",Data!AG115)</f>
        <v>BYD Shark 6 2025 AWD D/C W/S</v>
      </c>
      <c r="Z114" s="18" t="str">
        <f>Data!AL115</f>
        <v>OK</v>
      </c>
      <c r="AA114" s="22">
        <f>Data!AH115</f>
        <v>45975.785986053241</v>
      </c>
      <c r="AB114" s="22">
        <f>IF(ISBLANK(Data!AI115),"",Data!AI115)</f>
        <v>45975.856101793979</v>
      </c>
    </row>
    <row r="115" spans="1:28">
      <c r="A115" s="18" t="str">
        <f>Data!A116</f>
        <v>553</v>
      </c>
      <c r="B115" s="18" t="str">
        <f>Data!C116</f>
        <v>Electric Vehicles, BYD, EV/Other Management</v>
      </c>
      <c r="C115" s="18" t="str">
        <f>Data!B116</f>
        <v>b27F</v>
      </c>
      <c r="D115" s="18">
        <f>Data!F116</f>
        <v>0</v>
      </c>
      <c r="E115" s="18">
        <f>Data!G116</f>
        <v>0</v>
      </c>
      <c r="F115" s="18">
        <f>Data!H116</f>
        <v>0</v>
      </c>
      <c r="G115" s="18" t="str">
        <f>Data!I116</f>
        <v>Standard Hours</v>
      </c>
      <c r="H115" s="18" t="str">
        <f>Data!K116</f>
        <v>Stopped</v>
      </c>
      <c r="I115" s="18" t="b">
        <f>Data!L116</f>
        <v>0</v>
      </c>
      <c r="J115" s="19" t="str">
        <f>Data!N116</f>
        <v>13 Nottingham Road, Onerahi, Whangārei 0110, New Zealand</v>
      </c>
      <c r="K115" s="19">
        <f>Data!O116</f>
        <v>0</v>
      </c>
      <c r="L115" s="20">
        <f>Data!Q116</f>
        <v>3028.10009765625</v>
      </c>
      <c r="M115" s="21">
        <f>Data!R116</f>
        <v>2.1546978587962964</v>
      </c>
      <c r="N115" s="22">
        <f>Data!S116</f>
        <v>45894.987922534725</v>
      </c>
      <c r="O115" s="22">
        <f>Data!T116</f>
        <v>54789.541666666664</v>
      </c>
      <c r="P115" s="23" t="b">
        <f>OR(Data!$B$2&lt;Data!S116,Data!$B$2&gt;Data!T116)</f>
        <v>0</v>
      </c>
      <c r="Q115" s="23" t="str">
        <f>Data!J116</f>
        <v>GO Mode,Garmin,HOS,Iridium,UI</v>
      </c>
      <c r="R115" s="18" t="str">
        <f>Data!U116</f>
        <v>Version 9</v>
      </c>
      <c r="S115" s="18" t="str">
        <f>CONCATENATE(Data!V116,".",Data!W116,".",Data!X116)</f>
        <v>120.42.57</v>
      </c>
      <c r="T115" s="18" t="str">
        <f>Data!Y116</f>
        <v>G9V3CWPS27KR</v>
      </c>
      <c r="U115" s="18" t="str">
        <f>Data!Z116</f>
        <v>RDQ876</v>
      </c>
      <c r="V115" s="18">
        <f>Data!AA116</f>
        <v>0</v>
      </c>
      <c r="W115" s="18" t="str">
        <f>Data!AD116</f>
        <v>LGXCE4CB3S2083615</v>
      </c>
      <c r="X115" s="18" t="str">
        <f>Data!AF116</f>
        <v>Pacific/Auckland</v>
      </c>
      <c r="Y115" s="24" t="str">
        <f>IF(ISBLANK(Data!AG116),"",Data!AG116)</f>
        <v>BYD Atto 3 2025 Extended Range</v>
      </c>
      <c r="Z115" s="18" t="str">
        <f>Data!AL116</f>
        <v>OK</v>
      </c>
      <c r="AA115" s="22">
        <f>Data!AH116</f>
        <v>45975.775017789354</v>
      </c>
      <c r="AB115" s="22">
        <f>IF(ISBLANK(Data!AI116),"",Data!AI116)</f>
        <v>45975.844948344908</v>
      </c>
    </row>
    <row r="116" spans="1:28">
      <c r="A116" s="18" t="str">
        <f>Data!A117</f>
        <v>554</v>
      </c>
      <c r="B116" s="18" t="str">
        <f>Data!C117</f>
        <v>Light Petrol Vehicles, Gasoline or Petrol</v>
      </c>
      <c r="C116" s="18" t="str">
        <f>Data!B117</f>
        <v>b27E</v>
      </c>
      <c r="D116" s="18">
        <f>Data!F117</f>
        <v>0</v>
      </c>
      <c r="E116" s="18">
        <f>Data!G117</f>
        <v>0</v>
      </c>
      <c r="F116" s="18">
        <f>Data!H117</f>
        <v>0</v>
      </c>
      <c r="G116" s="18" t="str">
        <f>Data!I117</f>
        <v>Standard Hours</v>
      </c>
      <c r="H116" s="18" t="str">
        <f>Data!K117</f>
        <v>Stopped</v>
      </c>
      <c r="I116" s="18" t="b">
        <f>Data!L117</f>
        <v>0</v>
      </c>
      <c r="J116" s="19" t="str">
        <f>Data!N117</f>
        <v>96 Franklin Road, Parua Bay 0192, New Zealand</v>
      </c>
      <c r="K116" s="19">
        <f>Data!O117</f>
        <v>0</v>
      </c>
      <c r="L116" s="20">
        <f>Data!Q117</f>
        <v>1667</v>
      </c>
      <c r="M116" s="21">
        <f>Data!R117</f>
        <v>1.0483340277777777</v>
      </c>
      <c r="N116" s="22">
        <f>Data!S117</f>
        <v>45894.986825011576</v>
      </c>
      <c r="O116" s="22">
        <f>Data!T117</f>
        <v>54789.541666666664</v>
      </c>
      <c r="P116" s="23" t="b">
        <f>OR(Data!$B$2&lt;Data!S117,Data!$B$2&gt;Data!T117)</f>
        <v>0</v>
      </c>
      <c r="Q116" s="23" t="str">
        <f>Data!J117</f>
        <v>GO Mode,Garmin,HOS,Iridium,UI</v>
      </c>
      <c r="R116" s="18" t="str">
        <f>Data!U117</f>
        <v>Version 9</v>
      </c>
      <c r="S116" s="18" t="str">
        <f>CONCATENATE(Data!V117,".",Data!W117,".",Data!X117)</f>
        <v>120.45.22</v>
      </c>
      <c r="T116" s="18" t="str">
        <f>Data!Y117</f>
        <v>G9KKRFJA0AM6</v>
      </c>
      <c r="U116" s="18">
        <f>Data!Z117</f>
        <v>0</v>
      </c>
      <c r="V116" s="18">
        <f>Data!AA117</f>
        <v>0</v>
      </c>
      <c r="W116" s="18" t="str">
        <f>Data!AD117</f>
        <v>LPE19W2AXSF199153</v>
      </c>
      <c r="X116" s="18" t="str">
        <f>Data!AF117</f>
        <v>Pacific/Auckland</v>
      </c>
      <c r="Y116" s="24" t="str">
        <f>IF(ISBLANK(Data!AG117),"",Data!AG117)</f>
        <v/>
      </c>
      <c r="Z116" s="18" t="str">
        <f>Data!AL117</f>
        <v>OK</v>
      </c>
      <c r="AA116" s="22">
        <f>Data!AH117</f>
        <v>45970.532899803242</v>
      </c>
      <c r="AB116" s="22">
        <f>IF(ISBLANK(Data!AI117),"",Data!AI117)</f>
        <v>45975.350122025462</v>
      </c>
    </row>
    <row r="117" spans="1:28">
      <c r="A117" s="18" t="str">
        <f>Data!A118</f>
        <v>601</v>
      </c>
      <c r="B117" s="18" t="str">
        <f>Data!C118</f>
        <v>Heavy Diesel Vehicles, HDV/Trade Staff, Trade Staff</v>
      </c>
      <c r="C117" s="18" t="str">
        <f>Data!B118</f>
        <v>bFE</v>
      </c>
      <c r="D117" s="18">
        <f>Data!F118</f>
        <v>0</v>
      </c>
      <c r="E117" s="18">
        <f>Data!G118</f>
        <v>0</v>
      </c>
      <c r="F117" s="18">
        <f>Data!H118</f>
        <v>0</v>
      </c>
      <c r="G117" s="18" t="str">
        <f>Data!I118</f>
        <v>Standard Hours</v>
      </c>
      <c r="H117" s="18" t="str">
        <f>Data!K118</f>
        <v>Stopped</v>
      </c>
      <c r="I117" s="18" t="b">
        <f>Data!L118</f>
        <v>0</v>
      </c>
      <c r="J117" s="19" t="str">
        <f>Data!N118</f>
        <v>United Civil Head Office: 19B Rewa Rewa Road, Raumanga, Whangārei 0110, New Zealand</v>
      </c>
      <c r="K117" s="19" t="str">
        <f>Data!O118</f>
        <v>Office Zone</v>
      </c>
      <c r="L117" s="20">
        <f>Data!Q118</f>
        <v>508232.5625</v>
      </c>
      <c r="M117" s="21">
        <f>Data!R118</f>
        <v>363.28470539351849</v>
      </c>
      <c r="N117" s="22">
        <f>Data!S118</f>
        <v>45723.576249270831</v>
      </c>
      <c r="O117" s="22">
        <f>Data!T118</f>
        <v>54789.541666666664</v>
      </c>
      <c r="P117" s="23" t="b">
        <f>OR(Data!$B$2&lt;Data!S118,Data!$B$2&gt;Data!T118)</f>
        <v>0</v>
      </c>
      <c r="Q117" s="23" t="str">
        <f>Data!J118</f>
        <v>GO Mode,Garmin,HOS,Iridium,UI</v>
      </c>
      <c r="R117" s="18" t="str">
        <f>Data!U118</f>
        <v>Version 9</v>
      </c>
      <c r="S117" s="18" t="str">
        <f>CONCATENATE(Data!V118,".",Data!W118,".",Data!X118)</f>
        <v>120.42.57</v>
      </c>
      <c r="T117" s="18" t="str">
        <f>Data!Y118</f>
        <v>G93E211AE8EF</v>
      </c>
      <c r="U117" s="18" t="str">
        <f>Data!Z118</f>
        <v>PWG214</v>
      </c>
      <c r="V117" s="18">
        <f>Data!AA118</f>
        <v>0</v>
      </c>
      <c r="W117" s="18">
        <f>Data!AD118</f>
        <v>0</v>
      </c>
      <c r="X117" s="18" t="str">
        <f>Data!AF118</f>
        <v>Pacific/Auckland</v>
      </c>
      <c r="Y117" s="24" t="str">
        <f>IF(ISBLANK(Data!AG118),"",Data!AG118)</f>
        <v>Isuzu CYZ 460 Giga 2008</v>
      </c>
      <c r="Z117" s="18" t="str">
        <f>Data!AL118</f>
        <v>OK</v>
      </c>
      <c r="AA117" s="22">
        <f>Data!AH118</f>
        <v>45973.613684502314</v>
      </c>
      <c r="AB117" s="22">
        <f>IF(ISBLANK(Data!AI118),"",Data!AI118)</f>
        <v>45975.850524780093</v>
      </c>
    </row>
    <row r="118" spans="1:28">
      <c r="A118" s="18" t="str">
        <f>Data!A119</f>
        <v>602</v>
      </c>
      <c r="B118" s="18" t="str">
        <f>Data!C119</f>
        <v>Heavy Diesel Vehicles, HDV/Trade Staff, Trade Staff</v>
      </c>
      <c r="C118" s="18" t="str">
        <f>Data!B119</f>
        <v>bF8</v>
      </c>
      <c r="D118" s="18">
        <f>Data!F119</f>
        <v>0</v>
      </c>
      <c r="E118" s="18">
        <f>Data!G119</f>
        <v>0</v>
      </c>
      <c r="F118" s="18">
        <f>Data!H119</f>
        <v>0</v>
      </c>
      <c r="G118" s="18" t="str">
        <f>Data!I119</f>
        <v>Standard Hours</v>
      </c>
      <c r="H118" s="18" t="str">
        <f>Data!K119</f>
        <v>Stopped</v>
      </c>
      <c r="I118" s="18" t="b">
        <f>Data!L119</f>
        <v>0</v>
      </c>
      <c r="J118" s="19" t="str">
        <f>Data!N119</f>
        <v>Kaikohe: 8 Lindvart Street, Kaikohe 0474, New Zealand</v>
      </c>
      <c r="K118" s="19" t="str">
        <f>Data!O119</f>
        <v>Project</v>
      </c>
      <c r="L118" s="20">
        <f>Data!Q119</f>
        <v>280849.34375</v>
      </c>
      <c r="M118" s="21">
        <f>Data!R119</f>
        <v>167.18196579861112</v>
      </c>
      <c r="N118" s="22">
        <f>Data!S119</f>
        <v>45721.961782025464</v>
      </c>
      <c r="O118" s="22">
        <f>Data!T119</f>
        <v>54789.541666666664</v>
      </c>
      <c r="P118" s="23" t="b">
        <f>OR(Data!$B$2&lt;Data!S119,Data!$B$2&gt;Data!T119)</f>
        <v>0</v>
      </c>
      <c r="Q118" s="23" t="str">
        <f>Data!J119</f>
        <v>GO Mode,Garmin,HOS,Iridium,UI</v>
      </c>
      <c r="R118" s="18" t="str">
        <f>Data!U119</f>
        <v>Version 9</v>
      </c>
      <c r="S118" s="18" t="str">
        <f>CONCATENATE(Data!V119,".",Data!W119,".",Data!X119)</f>
        <v>120.42.57</v>
      </c>
      <c r="T118" s="18" t="str">
        <f>Data!Y119</f>
        <v>G9PBUFWUJ5VP</v>
      </c>
      <c r="U118" s="18" t="str">
        <f>Data!Z119</f>
        <v>BHR201</v>
      </c>
      <c r="V118" s="18">
        <f>Data!AA119</f>
        <v>0</v>
      </c>
      <c r="W118" s="18">
        <f>Data!AD119</f>
        <v>0</v>
      </c>
      <c r="X118" s="18" t="str">
        <f>Data!AF119</f>
        <v>Pacific/Auckland</v>
      </c>
      <c r="Y118" s="24" t="str">
        <f>IF(ISBLANK(Data!AG119),"",Data!AG119)</f>
        <v>Hino GD 2003</v>
      </c>
      <c r="Z118" s="18" t="str">
        <f>Data!AL119</f>
        <v>OK</v>
      </c>
      <c r="AA118" s="22">
        <f>Data!AH119</f>
        <v>45975.68596667824</v>
      </c>
      <c r="AB118" s="22">
        <f>IF(ISBLANK(Data!AI119),"",Data!AI119)</f>
        <v>45975.853871770836</v>
      </c>
    </row>
    <row r="119" spans="1:28">
      <c r="A119" s="18" t="str">
        <f>Data!A120</f>
        <v>603</v>
      </c>
      <c r="B119" s="18" t="str">
        <f>Data!C120</f>
        <v>Heavy Diesel Vehicles, HDV/Trade Staff, Trade Staff</v>
      </c>
      <c r="C119" s="18" t="str">
        <f>Data!B120</f>
        <v>b19F</v>
      </c>
      <c r="D119" s="18">
        <f>Data!F120</f>
        <v>0</v>
      </c>
      <c r="E119" s="18">
        <f>Data!G120</f>
        <v>0</v>
      </c>
      <c r="F119" s="18">
        <f>Data!H120</f>
        <v>0</v>
      </c>
      <c r="G119" s="18" t="str">
        <f>Data!I120</f>
        <v>Standard Hours</v>
      </c>
      <c r="H119" s="18" t="str">
        <f>Data!K120</f>
        <v>Stopped</v>
      </c>
      <c r="I119" s="18" t="b">
        <f>Data!L120</f>
        <v>0</v>
      </c>
      <c r="J119" s="19" t="str">
        <f>Data!N120</f>
        <v>Kaikohe: 12 Lindvart Street, Kaikohe 0474, New Zealand</v>
      </c>
      <c r="K119" s="19" t="str">
        <f>Data!O120</f>
        <v>Project</v>
      </c>
      <c r="L119" s="20">
        <f>Data!Q120</f>
        <v>240576.546875</v>
      </c>
      <c r="M119" s="21">
        <f>Data!R120</f>
        <v>156.49916671296296</v>
      </c>
      <c r="N119" s="22">
        <f>Data!S120</f>
        <v>45901.65318666667</v>
      </c>
      <c r="O119" s="22">
        <f>Data!T120</f>
        <v>54789.541666666664</v>
      </c>
      <c r="P119" s="23" t="b">
        <f>OR(Data!$B$2&lt;Data!S120,Data!$B$2&gt;Data!T120)</f>
        <v>0</v>
      </c>
      <c r="Q119" s="23" t="str">
        <f>Data!J120</f>
        <v>GO Mode,Garmin,HOS,Iridium,UI</v>
      </c>
      <c r="R119" s="18" t="str">
        <f>Data!U120</f>
        <v>Version 9</v>
      </c>
      <c r="S119" s="18" t="str">
        <f>CONCATENATE(Data!V120,".",Data!W120,".",Data!X120)</f>
        <v>120.42.57</v>
      </c>
      <c r="T119" s="18" t="str">
        <f>Data!Y120</f>
        <v>G9914R3E9E1A</v>
      </c>
      <c r="U119" s="18" t="str">
        <f>Data!Z120</f>
        <v>DYJ738</v>
      </c>
      <c r="V119" s="18">
        <f>Data!AA120</f>
        <v>0</v>
      </c>
      <c r="W119" s="18">
        <f>Data!AD120</f>
        <v>0</v>
      </c>
      <c r="X119" s="18" t="str">
        <f>Data!AF120</f>
        <v>Pacific/Auckland</v>
      </c>
      <c r="Y119" s="24" t="str">
        <f>IF(ISBLANK(Data!AG120),"",Data!AG120)</f>
        <v>Isuzu Elf NRR 1999</v>
      </c>
      <c r="Z119" s="18" t="str">
        <f>Data!AL120</f>
        <v>OK</v>
      </c>
      <c r="AA119" s="22">
        <f>Data!AH120</f>
        <v>45975.683770173608</v>
      </c>
      <c r="AB119" s="22">
        <f>IF(ISBLANK(Data!AI120),"",Data!AI120)</f>
        <v>45975.852149803242</v>
      </c>
    </row>
    <row r="120" spans="1:28">
      <c r="A120" s="18" t="str">
        <f>Data!A121</f>
        <v>607</v>
      </c>
      <c r="B120" s="18" t="str">
        <f>Data!C121</f>
        <v>Heavy Diesel Vehicles, HDV/Trade Staff, Trade Staff</v>
      </c>
      <c r="C120" s="18" t="str">
        <f>Data!B121</f>
        <v>b19C</v>
      </c>
      <c r="D120" s="18">
        <f>Data!F121</f>
        <v>0</v>
      </c>
      <c r="E120" s="18">
        <f>Data!G121</f>
        <v>0</v>
      </c>
      <c r="F120" s="18">
        <f>Data!H121</f>
        <v>0</v>
      </c>
      <c r="G120" s="18" t="str">
        <f>Data!I121</f>
        <v>Standard Hours</v>
      </c>
      <c r="H120" s="18" t="str">
        <f>Data!K121</f>
        <v>Stopped</v>
      </c>
      <c r="I120" s="18" t="b">
        <f>Data!L121</f>
        <v>0</v>
      </c>
      <c r="J120" s="19" t="str">
        <f>Data!N121</f>
        <v>Kaikohe: 8 Lindvart Street, Kaikohe 0474, New Zealand</v>
      </c>
      <c r="K120" s="19" t="str">
        <f>Data!O121</f>
        <v>Project</v>
      </c>
      <c r="L120" s="20">
        <f>Data!Q121</f>
        <v>299014.1875</v>
      </c>
      <c r="M120" s="21">
        <f>Data!R121</f>
        <v>522.44443347222227</v>
      </c>
      <c r="N120" s="22">
        <f>Data!S121</f>
        <v>45782.956712881947</v>
      </c>
      <c r="O120" s="22">
        <f>Data!T121</f>
        <v>54789.541666666664</v>
      </c>
      <c r="P120" s="23" t="b">
        <f>OR(Data!$B$2&lt;Data!S121,Data!$B$2&gt;Data!T121)</f>
        <v>0</v>
      </c>
      <c r="Q120" s="23" t="str">
        <f>Data!J121</f>
        <v>GO Mode,Garmin,HOS,Iridium,UI</v>
      </c>
      <c r="R120" s="18" t="str">
        <f>Data!U121</f>
        <v>Version 9</v>
      </c>
      <c r="S120" s="18" t="str">
        <f>CONCATENATE(Data!V121,".",Data!W121,".",Data!X121)</f>
        <v>120.42.59</v>
      </c>
      <c r="T120" s="18" t="str">
        <f>Data!Y121</f>
        <v>G97HC312C19M</v>
      </c>
      <c r="U120" s="18" t="str">
        <f>Data!Z121</f>
        <v>JHU122</v>
      </c>
      <c r="V120" s="18">
        <f>Data!AA121</f>
        <v>0</v>
      </c>
      <c r="W120" s="18" t="str">
        <f>Data!AD121</f>
        <v>JALCYZ52LD7000110</v>
      </c>
      <c r="X120" s="18" t="str">
        <f>Data!AF121</f>
        <v>Pacific/Auckland</v>
      </c>
      <c r="Y120" s="24" t="str">
        <f>IF(ISBLANK(Data!AG121),"",Data!AG121)</f>
        <v>Isuzu CYZ400 2015</v>
      </c>
      <c r="Z120" s="18" t="str">
        <f>Data!AL121</f>
        <v>OK</v>
      </c>
      <c r="AA120" s="22">
        <f>Data!AH121</f>
        <v>45975.6699366088</v>
      </c>
      <c r="AB120" s="22">
        <f>IF(ISBLANK(Data!AI121),"",Data!AI121)</f>
        <v>45975.861637997688</v>
      </c>
    </row>
    <row r="121" spans="1:28">
      <c r="A121" s="18" t="str">
        <f>Data!A122</f>
        <v>608</v>
      </c>
      <c r="B121" s="18" t="str">
        <f>Data!C122</f>
        <v>Heavy Diesel Vehicles, HDV/Trade Staff, Trade Staff</v>
      </c>
      <c r="C121" s="18" t="str">
        <f>Data!B122</f>
        <v>b10C</v>
      </c>
      <c r="D121" s="18">
        <f>Data!F122</f>
        <v>0</v>
      </c>
      <c r="E121" s="18">
        <f>Data!G122</f>
        <v>0</v>
      </c>
      <c r="F121" s="18">
        <f>Data!H122</f>
        <v>0</v>
      </c>
      <c r="G121" s="18" t="str">
        <f>Data!I122</f>
        <v>Standard Hours</v>
      </c>
      <c r="H121" s="18" t="str">
        <f>Data!K122</f>
        <v>Stopped</v>
      </c>
      <c r="I121" s="18" t="b">
        <f>Data!L122</f>
        <v>0</v>
      </c>
      <c r="J121" s="19" t="str">
        <f>Data!N122</f>
        <v>Kaikohe: 8 Lindvart Street, Kaikohe 0474, New Zealand</v>
      </c>
      <c r="K121" s="19" t="str">
        <f>Data!O122</f>
        <v>Project</v>
      </c>
      <c r="L121" s="20">
        <f>Data!Q122</f>
        <v>95072.015625</v>
      </c>
      <c r="M121" s="21">
        <f>Data!R122</f>
        <v>211.60641490740741</v>
      </c>
      <c r="N121" s="22">
        <f>Data!S122</f>
        <v>45724.481567430557</v>
      </c>
      <c r="O121" s="22">
        <f>Data!T122</f>
        <v>54789.541666666664</v>
      </c>
      <c r="P121" s="23" t="b">
        <f>OR(Data!$B$2&lt;Data!S122,Data!$B$2&gt;Data!T122)</f>
        <v>0</v>
      </c>
      <c r="Q121" s="23" t="str">
        <f>Data!J122</f>
        <v>GO Mode,Garmin,HOS,Iridium,UI</v>
      </c>
      <c r="R121" s="18" t="str">
        <f>Data!U122</f>
        <v>Version 9</v>
      </c>
      <c r="S121" s="18" t="str">
        <f>CONCATENATE(Data!V122,".",Data!W122,".",Data!X122)</f>
        <v>120.45.20</v>
      </c>
      <c r="T121" s="18" t="str">
        <f>Data!Y122</f>
        <v>G971211C5218</v>
      </c>
      <c r="U121" s="18" t="str">
        <f>Data!Z122</f>
        <v>JHU139</v>
      </c>
      <c r="V121" s="18">
        <f>Data!AA122</f>
        <v>0</v>
      </c>
      <c r="W121" s="18" t="str">
        <f>Data!AD122</f>
        <v>JALFVZ34PE7001285</v>
      </c>
      <c r="X121" s="18" t="str">
        <f>Data!AF122</f>
        <v>Pacific/Auckland</v>
      </c>
      <c r="Y121" s="24" t="str">
        <f>IF(ISBLANK(Data!AG122),"",Data!AG122)</f>
        <v>Isuzu FVZ1400M 2015</v>
      </c>
      <c r="Z121" s="18" t="str">
        <f>Data!AL122</f>
        <v>OK</v>
      </c>
      <c r="AA121" s="22">
        <f>Data!AH122</f>
        <v>45975.653439212962</v>
      </c>
      <c r="AB121" s="22">
        <f>IF(ISBLANK(Data!AI122),"",Data!AI122)</f>
        <v>45975.844388287034</v>
      </c>
    </row>
    <row r="122" spans="1:28">
      <c r="A122" s="18" t="str">
        <f>Data!A123</f>
        <v>609</v>
      </c>
      <c r="B122" s="18" t="str">
        <f>Data!C123</f>
        <v>Heavy Diesel Vehicles, Diesel, HDV/Trade Staff, Trade Staff</v>
      </c>
      <c r="C122" s="18" t="str">
        <f>Data!B123</f>
        <v>b18A</v>
      </c>
      <c r="D122" s="18">
        <f>Data!F123</f>
        <v>0</v>
      </c>
      <c r="E122" s="18">
        <f>Data!G123</f>
        <v>0</v>
      </c>
      <c r="F122" s="18">
        <f>Data!H123</f>
        <v>0</v>
      </c>
      <c r="G122" s="18" t="str">
        <f>Data!I123</f>
        <v>Standard Hours</v>
      </c>
      <c r="H122" s="18" t="str">
        <f>Data!K123</f>
        <v>Stopped</v>
      </c>
      <c r="I122" s="18" t="b">
        <f>Data!L123</f>
        <v>0</v>
      </c>
      <c r="J122" s="19" t="str">
        <f>Data!N123</f>
        <v>United Civil Head Office: 19B Rewa Rewa Road, Raumanga, Whangārei 0110, New Zealand</v>
      </c>
      <c r="K122" s="19" t="str">
        <f>Data!O123</f>
        <v>Office Zone</v>
      </c>
      <c r="L122" s="20">
        <f>Data!Q123</f>
        <v>34695.1640625</v>
      </c>
      <c r="M122" s="21">
        <f>Data!R123</f>
        <v>90.437491203703701</v>
      </c>
      <c r="N122" s="22">
        <f>Data!S123</f>
        <v>45782.957103125002</v>
      </c>
      <c r="O122" s="22">
        <f>Data!T123</f>
        <v>54789.541666666664</v>
      </c>
      <c r="P122" s="23" t="b">
        <f>OR(Data!$B$2&lt;Data!S123,Data!$B$2&gt;Data!T123)</f>
        <v>0</v>
      </c>
      <c r="Q122" s="23" t="str">
        <f>Data!J123</f>
        <v>GO Mode,Garmin,HOS,Iridium,UI</v>
      </c>
      <c r="R122" s="18" t="str">
        <f>Data!U123</f>
        <v>Version 9</v>
      </c>
      <c r="S122" s="18" t="str">
        <f>CONCATENATE(Data!V123,".",Data!W123,".",Data!X123)</f>
        <v>120.42.56</v>
      </c>
      <c r="T122" s="18" t="str">
        <f>Data!Y123</f>
        <v>G9JPYY30146R</v>
      </c>
      <c r="U122" s="18" t="str">
        <f>Data!Z123</f>
        <v>JRT503</v>
      </c>
      <c r="V122" s="18">
        <f>Data!AA123</f>
        <v>0</v>
      </c>
      <c r="W122" s="18" t="str">
        <f>Data!AD123</f>
        <v>JALFVZ34SE7000210</v>
      </c>
      <c r="X122" s="18" t="str">
        <f>Data!AF123</f>
        <v>Pacific/Auckland</v>
      </c>
      <c r="Y122" s="24" t="str">
        <f>IF(ISBLANK(Data!AG123),"",Data!AG123)</f>
        <v>Isuzu FVZ1400A 2016</v>
      </c>
      <c r="Z122" s="18" t="str">
        <f>Data!AL123</f>
        <v>Device is not downloading data</v>
      </c>
      <c r="AA122" s="22">
        <f>Data!AH123</f>
        <v>45960.419382650463</v>
      </c>
      <c r="AB122" s="22">
        <f>IF(ISBLANK(Data!AI123),"",Data!AI123)</f>
        <v>45974.300007650461</v>
      </c>
    </row>
    <row r="123" spans="1:28">
      <c r="A123" s="18" t="str">
        <f>Data!A124</f>
        <v>610</v>
      </c>
      <c r="B123" s="18" t="str">
        <f>Data!C124</f>
        <v>Heavy Diesel Vehicles, Trade Staff</v>
      </c>
      <c r="C123" s="18" t="str">
        <f>Data!B124</f>
        <v>b174</v>
      </c>
      <c r="D123" s="18" t="str">
        <f>Data!F124</f>
        <v>Carl</v>
      </c>
      <c r="E123" s="18" t="str">
        <f>Data!G124</f>
        <v>Riesterer</v>
      </c>
      <c r="F123" s="18" t="str">
        <f>Data!H124</f>
        <v>carl.riesterer</v>
      </c>
      <c r="G123" s="18" t="str">
        <f>Data!I124</f>
        <v>Standard Hours</v>
      </c>
      <c r="H123" s="18" t="str">
        <f>Data!K124</f>
        <v>Stopped</v>
      </c>
      <c r="I123" s="18" t="b">
        <f>Data!L124</f>
        <v>0</v>
      </c>
      <c r="J123" s="19" t="str">
        <f>Data!N124</f>
        <v>4 Cobble Lane, Morningside, Whangārei 0110, New Zealand</v>
      </c>
      <c r="K123" s="19">
        <f>Data!O124</f>
        <v>0</v>
      </c>
      <c r="L123" s="20">
        <f>Data!Q124</f>
        <v>179238.03125</v>
      </c>
      <c r="M123" s="21">
        <f>Data!R124</f>
        <v>131.7672735763889</v>
      </c>
      <c r="N123" s="22">
        <f>Data!S124</f>
        <v>45782.943745115743</v>
      </c>
      <c r="O123" s="22">
        <f>Data!T124</f>
        <v>54789.541666666664</v>
      </c>
      <c r="P123" s="23" t="b">
        <f>OR(Data!$B$2&lt;Data!S124,Data!$B$2&gt;Data!T124)</f>
        <v>0</v>
      </c>
      <c r="Q123" s="23" t="str">
        <f>Data!J124</f>
        <v>GO Mode,Garmin,HOS,Iridium,UI</v>
      </c>
      <c r="R123" s="18" t="str">
        <f>Data!U124</f>
        <v>Version 9</v>
      </c>
      <c r="S123" s="18" t="str">
        <f>CONCATENATE(Data!V124,".",Data!W124,".",Data!X124)</f>
        <v>120.42.59</v>
      </c>
      <c r="T123" s="18" t="str">
        <f>Data!Y124</f>
        <v>G90RJP3ABURM</v>
      </c>
      <c r="U123" s="18" t="str">
        <f>Data!Z124</f>
        <v>LDM30</v>
      </c>
      <c r="V123" s="18">
        <f>Data!AA124</f>
        <v>0</v>
      </c>
      <c r="W123" s="18">
        <f>Data!AD124</f>
        <v>0</v>
      </c>
      <c r="X123" s="18" t="str">
        <f>Data!AF124</f>
        <v>Pacific/Auckland</v>
      </c>
      <c r="Y123" s="24" t="str">
        <f>IF(ISBLANK(Data!AG124),"",Data!AG124)</f>
        <v>Hino 300 2009.  Unit transferred from Ute 469 in Aug 2025</v>
      </c>
      <c r="Z123" s="18" t="str">
        <f>Data!AL124</f>
        <v>OK</v>
      </c>
      <c r="AA123" s="22">
        <f>Data!AH124</f>
        <v>45975.723520833337</v>
      </c>
      <c r="AB123" s="22">
        <f>IF(ISBLANK(Data!AI124),"",Data!AI124)</f>
        <v>45975.849782407407</v>
      </c>
    </row>
    <row r="124" spans="1:28">
      <c r="A124" s="18" t="str">
        <f>Data!A125</f>
        <v>611</v>
      </c>
      <c r="B124" s="18" t="str">
        <f>Data!C125</f>
        <v>Heavy Diesel Vehicles, HDV/Trade Staff, Trade Staff</v>
      </c>
      <c r="C124" s="18" t="str">
        <f>Data!B125</f>
        <v>bD7</v>
      </c>
      <c r="D124" s="18">
        <f>Data!F125</f>
        <v>0</v>
      </c>
      <c r="E124" s="18">
        <f>Data!G125</f>
        <v>0</v>
      </c>
      <c r="F124" s="18">
        <f>Data!H125</f>
        <v>0</v>
      </c>
      <c r="G124" s="18" t="str">
        <f>Data!I125</f>
        <v>Standard Hours</v>
      </c>
      <c r="H124" s="18" t="str">
        <f>Data!K125</f>
        <v>Stopped</v>
      </c>
      <c r="I124" s="18" t="b">
        <f>Data!L125</f>
        <v>0</v>
      </c>
      <c r="J124" s="19" t="str">
        <f>Data!N125</f>
        <v>United Civil Head Office: 19B Rewa Rewa Road, Raumanga, Whangārei 0110, New Zealand</v>
      </c>
      <c r="K124" s="19" t="str">
        <f>Data!O125</f>
        <v>Office Zone</v>
      </c>
      <c r="L124" s="20">
        <f>Data!Q125</f>
        <v>41281.43359375</v>
      </c>
      <c r="M124" s="21">
        <f>Data!R125</f>
        <v>130.77599335648148</v>
      </c>
      <c r="N124" s="22">
        <f>Data!S125</f>
        <v>45711.907481678238</v>
      </c>
      <c r="O124" s="22">
        <f>Data!T125</f>
        <v>54789.541666666664</v>
      </c>
      <c r="P124" s="23" t="b">
        <f>OR(Data!$B$2&lt;Data!S125,Data!$B$2&gt;Data!T125)</f>
        <v>0</v>
      </c>
      <c r="Q124" s="23" t="str">
        <f>Data!J125</f>
        <v>GO Mode,Garmin,HOS,Iridium,UI</v>
      </c>
      <c r="R124" s="18" t="str">
        <f>Data!U125</f>
        <v>Version 9</v>
      </c>
      <c r="S124" s="18" t="str">
        <f>CONCATENATE(Data!V125,".",Data!W125,".",Data!X125)</f>
        <v>120.42.57</v>
      </c>
      <c r="T124" s="18" t="str">
        <f>Data!Y125</f>
        <v>G9K2Z7KKHUCV</v>
      </c>
      <c r="U124" s="18" t="str">
        <f>Data!Z125</f>
        <v>LWM567</v>
      </c>
      <c r="V124" s="18">
        <f>Data!AA125</f>
        <v>0</v>
      </c>
      <c r="W124" s="18">
        <f>Data!AD125</f>
        <v>0</v>
      </c>
      <c r="X124" s="18" t="str">
        <f>Data!AF125</f>
        <v>Pacific/Auckland</v>
      </c>
      <c r="Y124" s="24" t="str">
        <f>IF(ISBLANK(Data!AG125),"",Data!AG125)</f>
        <v>Isuzu Forward FRR90S1 2016 Tipper</v>
      </c>
      <c r="Z124" s="18" t="str">
        <f>Data!AL125</f>
        <v>OK</v>
      </c>
      <c r="AA124" s="22">
        <f>Data!AH125</f>
        <v>45974.38490459491</v>
      </c>
      <c r="AB124" s="22">
        <f>IF(ISBLANK(Data!AI125),"",Data!AI125)</f>
        <v>45975.844557372686</v>
      </c>
    </row>
    <row r="125" spans="1:28">
      <c r="A125" s="18" t="str">
        <f>Data!A126</f>
        <v>612</v>
      </c>
      <c r="B125" s="18" t="str">
        <f>Data!C126</f>
        <v>Heavy Diesel Vehicles, Diesel, HDV/Trade Staff, Trade Staff</v>
      </c>
      <c r="C125" s="18" t="str">
        <f>Data!B126</f>
        <v>b10A</v>
      </c>
      <c r="D125" s="18">
        <f>Data!F126</f>
        <v>0</v>
      </c>
      <c r="E125" s="18">
        <f>Data!G126</f>
        <v>0</v>
      </c>
      <c r="F125" s="18">
        <f>Data!H126</f>
        <v>0</v>
      </c>
      <c r="G125" s="18" t="str">
        <f>Data!I126</f>
        <v>Standard Hours</v>
      </c>
      <c r="H125" s="18" t="str">
        <f>Data!K126</f>
        <v>Stopped</v>
      </c>
      <c r="I125" s="18" t="b">
        <f>Data!L126</f>
        <v>0</v>
      </c>
      <c r="J125" s="19" t="str">
        <f>Data!N126</f>
        <v>Channel Infrastructure: 12 Ralph Trimmer Drive, Marsden Point 0171, New Zealand</v>
      </c>
      <c r="K125" s="19" t="str">
        <f>Data!O126</f>
        <v>Project</v>
      </c>
      <c r="L125" s="20">
        <f>Data!Q126</f>
        <v>47328.6015625</v>
      </c>
      <c r="M125" s="21">
        <f>Data!R126</f>
        <v>104.43284553240741</v>
      </c>
      <c r="N125" s="22">
        <f>Data!S126</f>
        <v>45724.478425057867</v>
      </c>
      <c r="O125" s="22">
        <f>Data!T126</f>
        <v>54789.541666666664</v>
      </c>
      <c r="P125" s="23" t="b">
        <f>OR(Data!$B$2&lt;Data!S126,Data!$B$2&gt;Data!T126)</f>
        <v>0</v>
      </c>
      <c r="Q125" s="23" t="str">
        <f>Data!J126</f>
        <v>GO Mode,Garmin,HOS,Iridium,UI</v>
      </c>
      <c r="R125" s="18" t="str">
        <f>Data!U126</f>
        <v>Version 9</v>
      </c>
      <c r="S125" s="18" t="str">
        <f>CONCATENATE(Data!V126,".",Data!W126,".",Data!X126)</f>
        <v>120.45.22</v>
      </c>
      <c r="T125" s="18" t="str">
        <f>Data!Y126</f>
        <v>G934211AE8E5</v>
      </c>
      <c r="U125" s="18" t="str">
        <f>Data!Z126</f>
        <v>MDP124</v>
      </c>
      <c r="V125" s="18">
        <f>Data!AA126</f>
        <v>0</v>
      </c>
      <c r="W125" s="18" t="str">
        <f>Data!AD126</f>
        <v>JAANPR75LJ7100427</v>
      </c>
      <c r="X125" s="18" t="str">
        <f>Data!AF126</f>
        <v>Pacific/Auckland</v>
      </c>
      <c r="Y125" s="24" t="str">
        <f>IF(ISBLANK(Data!AG126),"",Data!AG126)</f>
        <v>Isuzu N Series / ELF / NPR 4x2 (2018)</v>
      </c>
      <c r="Z125" s="18" t="str">
        <f>Data!AL126</f>
        <v>OK</v>
      </c>
      <c r="AA125" s="22">
        <f>Data!AH126</f>
        <v>45975.413228969905</v>
      </c>
      <c r="AB125" s="22">
        <f>IF(ISBLANK(Data!AI126),"",Data!AI126)</f>
        <v>45975.856191932871</v>
      </c>
    </row>
    <row r="126" spans="1:28">
      <c r="A126" s="18" t="str">
        <f>Data!A127</f>
        <v>613</v>
      </c>
      <c r="B126" s="18" t="str">
        <f>Data!C127</f>
        <v>Heavy Diesel Vehicles, Diesel, HDV/Trade Staff, Trade Staff</v>
      </c>
      <c r="C126" s="18" t="str">
        <f>Data!B127</f>
        <v>b19B</v>
      </c>
      <c r="D126" s="18" t="str">
        <f>Data!F127</f>
        <v>Pat (Dale)</v>
      </c>
      <c r="E126" s="18" t="str">
        <f>Data!G127</f>
        <v>Clotworthy</v>
      </c>
      <c r="F126" s="18" t="str">
        <f>Data!H127</f>
        <v>pat.clotworthy@unitedcivil.co.nz</v>
      </c>
      <c r="G126" s="18" t="str">
        <f>Data!I127</f>
        <v>Standard Hours</v>
      </c>
      <c r="H126" s="18" t="str">
        <f>Data!K127</f>
        <v>Stopped</v>
      </c>
      <c r="I126" s="18" t="b">
        <f>Data!L127</f>
        <v>0</v>
      </c>
      <c r="J126" s="19" t="str">
        <f>Data!N127</f>
        <v>Kaikohe: 12 Lindvart Street, Kaikohe 0474, New Zealand</v>
      </c>
      <c r="K126" s="19" t="str">
        <f>Data!O127</f>
        <v>Project</v>
      </c>
      <c r="L126" s="20">
        <f>Data!Q127</f>
        <v>73874.515625</v>
      </c>
      <c r="M126" s="21">
        <f>Data!R127</f>
        <v>159.66750084490741</v>
      </c>
      <c r="N126" s="22">
        <f>Data!S127</f>
        <v>45782.957483495367</v>
      </c>
      <c r="O126" s="22">
        <f>Data!T127</f>
        <v>54789.541666666664</v>
      </c>
      <c r="P126" s="23" t="b">
        <f>OR(Data!$B$2&lt;Data!S127,Data!$B$2&gt;Data!T127)</f>
        <v>0</v>
      </c>
      <c r="Q126" s="23" t="str">
        <f>Data!J127</f>
        <v>GO Mode,Garmin,HOS,Iridium,UI</v>
      </c>
      <c r="R126" s="18" t="str">
        <f>Data!U127</f>
        <v>Version 9</v>
      </c>
      <c r="S126" s="18" t="str">
        <f>CONCATENATE(Data!V127,".",Data!W127,".",Data!X127)</f>
        <v>120.42.59</v>
      </c>
      <c r="T126" s="18" t="str">
        <f>Data!Y127</f>
        <v>G924NZBAUAU0</v>
      </c>
      <c r="U126" s="18">
        <f>Data!Z127</f>
        <v>0</v>
      </c>
      <c r="V126" s="18">
        <f>Data!AA127</f>
        <v>0</v>
      </c>
      <c r="W126" s="18" t="str">
        <f>Data!AD127</f>
        <v>JAANPR75HJ7105429</v>
      </c>
      <c r="X126" s="18" t="str">
        <f>Data!AF127</f>
        <v>Pacific/Auckland</v>
      </c>
      <c r="Y126" s="24" t="str">
        <f>IF(ISBLANK(Data!AG127),"",Data!AG127)</f>
        <v>Isuzu NPR325 4x2 2020</v>
      </c>
      <c r="Z126" s="18" t="str">
        <f>Data!AL127</f>
        <v>OK</v>
      </c>
      <c r="AA126" s="22">
        <f>Data!AH127</f>
        <v>45975.758270844904</v>
      </c>
      <c r="AB126" s="22">
        <f>IF(ISBLANK(Data!AI127),"",Data!AI127)</f>
        <v>45975.758687511574</v>
      </c>
    </row>
    <row r="127" spans="1:28">
      <c r="A127" s="18" t="str">
        <f>Data!A128</f>
        <v>615</v>
      </c>
      <c r="B127" s="18" t="str">
        <f>Data!C128</f>
        <v>Heavy Diesel Vehicles, HDV/Trade Staff, Trade Staff</v>
      </c>
      <c r="C127" s="18" t="str">
        <f>Data!B128</f>
        <v>b199</v>
      </c>
      <c r="D127" s="18" t="str">
        <f>Data!F128</f>
        <v>David (Nick)</v>
      </c>
      <c r="E127" s="18" t="str">
        <f>Data!G128</f>
        <v>Stewart</v>
      </c>
      <c r="F127" s="18" t="str">
        <f>Data!H128</f>
        <v>nick.stewart</v>
      </c>
      <c r="G127" s="18" t="str">
        <f>Data!I128</f>
        <v>Standard Hours</v>
      </c>
      <c r="H127" s="18" t="str">
        <f>Data!K128</f>
        <v>Stopped</v>
      </c>
      <c r="I127" s="18" t="b">
        <f>Data!L128</f>
        <v>0</v>
      </c>
      <c r="J127" s="19" t="str">
        <f>Data!N128</f>
        <v>Kaikohe: 8 Lindvart Street, Kaikohe 0474, New Zealand</v>
      </c>
      <c r="K127" s="19" t="str">
        <f>Data!O128</f>
        <v>Project</v>
      </c>
      <c r="L127" s="20">
        <f>Data!Q128</f>
        <v>82899.3984375</v>
      </c>
      <c r="M127" s="21">
        <f>Data!R128</f>
        <v>120.88135833333334</v>
      </c>
      <c r="N127" s="22">
        <f>Data!S128</f>
        <v>45782.957907199074</v>
      </c>
      <c r="O127" s="22">
        <f>Data!T128</f>
        <v>54789.541666666664</v>
      </c>
      <c r="P127" s="23" t="b">
        <f>OR(Data!$B$2&lt;Data!S128,Data!$B$2&gt;Data!T128)</f>
        <v>0</v>
      </c>
      <c r="Q127" s="23" t="str">
        <f>Data!J128</f>
        <v>GO Mode,Garmin,HOS,Iridium,UI</v>
      </c>
      <c r="R127" s="18" t="str">
        <f>Data!U128</f>
        <v>Version 9</v>
      </c>
      <c r="S127" s="18" t="str">
        <f>CONCATENATE(Data!V128,".",Data!W128,".",Data!X128)</f>
        <v>120.42.59</v>
      </c>
      <c r="T127" s="18" t="str">
        <f>Data!Y128</f>
        <v>G96YFXY72SWU</v>
      </c>
      <c r="U127" s="18" t="str">
        <f>Data!Z128</f>
        <v>PHE415</v>
      </c>
      <c r="V127" s="18">
        <f>Data!AA128</f>
        <v>0</v>
      </c>
      <c r="W127" s="18" t="str">
        <f>Data!AD128</f>
        <v>JALCYZ52LF7000576</v>
      </c>
      <c r="X127" s="18" t="str">
        <f>Data!AF128</f>
        <v>Pacific/Auckland</v>
      </c>
      <c r="Y127" s="24" t="str">
        <f>IF(ISBLANK(Data!AG128),"",Data!AG128)</f>
        <v>Isuzu CYZ400 2022</v>
      </c>
      <c r="Z127" s="18" t="str">
        <f>Data!AL128</f>
        <v>OK</v>
      </c>
      <c r="AA127" s="22">
        <f>Data!AH128</f>
        <v>45975.41441449074</v>
      </c>
      <c r="AB127" s="22">
        <f>IF(ISBLANK(Data!AI128),"",Data!AI128)</f>
        <v>45975.853558009258</v>
      </c>
    </row>
    <row r="128" spans="1:28">
      <c r="A128" s="18" t="str">
        <f>Data!A129</f>
        <v>616</v>
      </c>
      <c r="B128" s="18" t="str">
        <f>Data!C129</f>
        <v>Heavy Diesel Vehicles, Diesel, HDV/Trade Staff, Trade Staff</v>
      </c>
      <c r="C128" s="18" t="str">
        <f>Data!B129</f>
        <v>bFF</v>
      </c>
      <c r="D128" s="18" t="str">
        <f>Data!F129</f>
        <v>Hetaraka</v>
      </c>
      <c r="E128" s="18" t="str">
        <f>Data!G129</f>
        <v>Te Nana</v>
      </c>
      <c r="F128" s="18" t="str">
        <f>Data!H129</f>
        <v>hetaraka.tenana</v>
      </c>
      <c r="G128" s="18" t="str">
        <f>Data!I129</f>
        <v>Standard Hours</v>
      </c>
      <c r="H128" s="18" t="str">
        <f>Data!K129</f>
        <v>Stopped</v>
      </c>
      <c r="I128" s="18" t="b">
        <f>Data!L129</f>
        <v>0</v>
      </c>
      <c r="J128" s="19" t="str">
        <f>Data!N129</f>
        <v>Kaikohe: 8 Lindvart Street, Kaikohe 0474, New Zealand</v>
      </c>
      <c r="K128" s="19" t="str">
        <f>Data!O129</f>
        <v>Project</v>
      </c>
      <c r="L128" s="20">
        <f>Data!Q129</f>
        <v>54446.33984375</v>
      </c>
      <c r="M128" s="21">
        <f>Data!R129</f>
        <v>77.021961296296297</v>
      </c>
      <c r="N128" s="22">
        <f>Data!S129</f>
        <v>45723.483717511575</v>
      </c>
      <c r="O128" s="22">
        <f>Data!T129</f>
        <v>54789.541666666664</v>
      </c>
      <c r="P128" s="23" t="b">
        <f>OR(Data!$B$2&lt;Data!S129,Data!$B$2&gt;Data!T129)</f>
        <v>0</v>
      </c>
      <c r="Q128" s="23" t="str">
        <f>Data!J129</f>
        <v>GO Mode,Garmin,HOS,Iridium,UI</v>
      </c>
      <c r="R128" s="18" t="str">
        <f>Data!U129</f>
        <v>Version 9</v>
      </c>
      <c r="S128" s="18" t="str">
        <f>CONCATENATE(Data!V129,".",Data!W129,".",Data!X129)</f>
        <v>120.45.22</v>
      </c>
      <c r="T128" s="18" t="str">
        <f>Data!Y129</f>
        <v>G969211C5101</v>
      </c>
      <c r="U128" s="18" t="str">
        <f>Data!Z129</f>
        <v>QFD256</v>
      </c>
      <c r="V128" s="18">
        <f>Data!AA129</f>
        <v>0</v>
      </c>
      <c r="W128" s="18" t="str">
        <f>Data!AD129</f>
        <v>JALCYZ52NN7000006</v>
      </c>
      <c r="X128" s="18" t="str">
        <f>Data!AF129</f>
        <v>Pacific/Auckland</v>
      </c>
      <c r="Y128" s="24" t="str">
        <f>IF(ISBLANK(Data!AG129),"",Data!AG129)</f>
        <v>Isuzu CYZ420 2023</v>
      </c>
      <c r="Z128" s="18" t="str">
        <f>Data!AL129</f>
        <v>OK</v>
      </c>
      <c r="AA128" s="22">
        <f>Data!AH129</f>
        <v>45974.674880393519</v>
      </c>
      <c r="AB128" s="22">
        <f>IF(ISBLANK(Data!AI129),"",Data!AI129)</f>
        <v>45975.853387337964</v>
      </c>
    </row>
    <row r="129" spans="1:32">
      <c r="A129" s="18" t="str">
        <f>Data!A130</f>
        <v>700</v>
      </c>
      <c r="B129" s="18" t="str">
        <f>Data!C130</f>
        <v>Roller, Roller/Trade Staff, Trade Staff</v>
      </c>
      <c r="C129" s="18" t="str">
        <f>Data!B130</f>
        <v>b183</v>
      </c>
      <c r="D129" s="18" t="str">
        <f>Data!F130</f>
        <v>Stephen</v>
      </c>
      <c r="E129" s="18" t="str">
        <f>Data!G130</f>
        <v>De Leeuw</v>
      </c>
      <c r="F129" s="18" t="str">
        <f>Data!H130</f>
        <v>steve.deleeuw@unitedcivil.co.nz</v>
      </c>
      <c r="G129" s="18" t="str">
        <f>Data!I130</f>
        <v>Standard Hours</v>
      </c>
      <c r="H129" s="18" t="str">
        <f>Data!K130</f>
        <v>Stopped</v>
      </c>
      <c r="I129" s="18" t="b">
        <f>Data!L130</f>
        <v>0</v>
      </c>
      <c r="J129" s="19" t="str">
        <f>Data!N130</f>
        <v>Kaitaia Wastewater: 5 Eden Terrace, Kaitaia 0410, New Zealand</v>
      </c>
      <c r="K129" s="19" t="str">
        <f>Data!O130</f>
        <v>Project</v>
      </c>
      <c r="L129" s="20">
        <f>Data!Q130</f>
        <v>125.47755432128906</v>
      </c>
      <c r="M129" s="21">
        <f>Data!R130</f>
        <v>136.17916666666667</v>
      </c>
      <c r="N129" s="22">
        <f>Data!S130</f>
        <v>45782.847991909723</v>
      </c>
      <c r="O129" s="22">
        <f>Data!T130</f>
        <v>54789.541666666664</v>
      </c>
      <c r="P129" s="23" t="b">
        <f>OR(Data!$B$2&lt;Data!S130,Data!$B$2&gt;Data!T130)</f>
        <v>0</v>
      </c>
      <c r="Q129" s="23" t="str">
        <f>Data!J130</f>
        <v>GO Mode,Garmin,HOS,Iridium,UI</v>
      </c>
      <c r="R129" s="18" t="str">
        <f>Data!U130</f>
        <v>Version 9</v>
      </c>
      <c r="S129" s="18" t="str">
        <f>CONCATENATE(Data!V130,".",Data!W130,".",Data!X130)</f>
        <v>120.42.55</v>
      </c>
      <c r="T129" s="18" t="str">
        <f>Data!Y130</f>
        <v>G9HE94BZVJ4X</v>
      </c>
      <c r="U129" s="18">
        <f>Data!Z130</f>
        <v>0</v>
      </c>
      <c r="V129" s="18">
        <f>Data!AA130</f>
        <v>0</v>
      </c>
      <c r="W129" s="18">
        <f>Data!AD130</f>
        <v>0</v>
      </c>
      <c r="X129" s="18" t="str">
        <f>Data!AF130</f>
        <v>Pacific/Auckland</v>
      </c>
      <c r="Y129" s="24" t="str">
        <f>IF(ISBLANK(Data!AG130),"",Data!AG130)</f>
        <v>3T Ingersol Vibrating DD34HF</v>
      </c>
      <c r="Z129" s="18" t="str">
        <f>Data!AL130</f>
        <v>Device is not downloading data</v>
      </c>
      <c r="AA129" s="22">
        <f>Data!AH130</f>
        <v>45939.504791666666</v>
      </c>
      <c r="AB129" s="22">
        <f>IF(ISBLANK(Data!AI130),"",Data!AI130)</f>
        <v>45939.532106481478</v>
      </c>
    </row>
    <row r="130" spans="1:32">
      <c r="A130" s="18" t="str">
        <f>Data!A131</f>
        <v>701</v>
      </c>
      <c r="B130" s="18" t="str">
        <f>Data!C131</f>
        <v>Roller, Roller/Trade Staff, Trade Staff</v>
      </c>
      <c r="C130" s="18" t="str">
        <f>Data!B131</f>
        <v>b197</v>
      </c>
      <c r="D130" s="18">
        <f>Data!F131</f>
        <v>0</v>
      </c>
      <c r="E130" s="18">
        <f>Data!G131</f>
        <v>0</v>
      </c>
      <c r="F130" s="18">
        <f>Data!H131</f>
        <v>0</v>
      </c>
      <c r="G130" s="18" t="str">
        <f>Data!I131</f>
        <v>Standard Hours</v>
      </c>
      <c r="H130" s="18" t="str">
        <f>Data!K131</f>
        <v>Stopped</v>
      </c>
      <c r="I130" s="18" t="b">
        <f>Data!L131</f>
        <v>0</v>
      </c>
      <c r="J130" s="19" t="str">
        <f>Data!N131</f>
        <v>Gillingham Road: 62 Gillingham Road, Te Kamo, Whangārei 0112, New Zealand</v>
      </c>
      <c r="K130" s="19" t="str">
        <f>Data!O131</f>
        <v>Project</v>
      </c>
      <c r="L130" s="20">
        <f>Data!Q131</f>
        <v>1.541485071182251</v>
      </c>
      <c r="M130" s="21">
        <f>Data!R131</f>
        <v>190.93599218750001</v>
      </c>
      <c r="N130" s="22">
        <f>Data!S131</f>
        <v>45945.03037695602</v>
      </c>
      <c r="O130" s="22">
        <f>Data!T131</f>
        <v>54789.541666666664</v>
      </c>
      <c r="P130" s="23" t="b">
        <f>OR(Data!$B$2&lt;Data!S131,Data!$B$2&gt;Data!T131)</f>
        <v>0</v>
      </c>
      <c r="Q130" s="23" t="str">
        <f>Data!J131</f>
        <v>GO Mode,Garmin,HOS,Iridium,UI</v>
      </c>
      <c r="R130" s="18" t="str">
        <f>Data!U131</f>
        <v>Version 9</v>
      </c>
      <c r="S130" s="18" t="str">
        <f>CONCATENATE(Data!V131,".",Data!W131,".",Data!X131)</f>
        <v>120.42.57</v>
      </c>
      <c r="T130" s="18" t="str">
        <f>Data!Y131</f>
        <v>G9R6TCE4CYA1</v>
      </c>
      <c r="U130" s="18" t="str">
        <f>Data!Z131</f>
        <v>KAT765</v>
      </c>
      <c r="V130" s="18">
        <f>Data!AA131</f>
        <v>0</v>
      </c>
      <c r="W130" s="18">
        <f>Data!AD131</f>
        <v>0</v>
      </c>
      <c r="X130" s="18" t="str">
        <f>Data!AF131</f>
        <v>Pacific/Auckland</v>
      </c>
      <c r="Y130" s="24" t="str">
        <f>IF(ISBLANK(Data!AG131),"",Data!AG131)</f>
        <v>12T Sakai SV520 Vibrating 2014 w Sheepsfoot</v>
      </c>
      <c r="Z130" s="18" t="str">
        <f>Data!AL131</f>
        <v>OK</v>
      </c>
      <c r="AA130" s="22">
        <f>Data!AH131</f>
        <v>45971.842447476854</v>
      </c>
      <c r="AB130" s="22">
        <f>IF(ISBLANK(Data!AI131),"",Data!AI131)</f>
        <v>45975.460178958332</v>
      </c>
    </row>
    <row r="131" spans="1:32">
      <c r="A131" s="18" t="str">
        <f>Data!A132</f>
        <v>702</v>
      </c>
      <c r="B131" s="18" t="str">
        <f>Data!C132</f>
        <v>Roller, Roller/Trade Staff, Trade Staff</v>
      </c>
      <c r="C131" s="18" t="str">
        <f>Data!B132</f>
        <v>b19D</v>
      </c>
      <c r="D131" s="18">
        <f>Data!F132</f>
        <v>0</v>
      </c>
      <c r="E131" s="18">
        <f>Data!G132</f>
        <v>0</v>
      </c>
      <c r="F131" s="18">
        <f>Data!H132</f>
        <v>0</v>
      </c>
      <c r="G131" s="18" t="str">
        <f>Data!I132</f>
        <v>Standard Hours</v>
      </c>
      <c r="H131" s="18" t="str">
        <f>Data!K132</f>
        <v>Stopped</v>
      </c>
      <c r="I131" s="18" t="b">
        <f>Data!L132</f>
        <v>0</v>
      </c>
      <c r="J131" s="19" t="str">
        <f>Data!N132</f>
        <v>Morningside: 65 Morningside Rd, Northland Region 0110, New Zealand</v>
      </c>
      <c r="K131" s="19" t="str">
        <f>Data!O132</f>
        <v>Project</v>
      </c>
      <c r="L131" s="20">
        <f>Data!Q132</f>
        <v>77.326133728027344</v>
      </c>
      <c r="M131" s="21">
        <f>Data!R132</f>
        <v>31.117743055555554</v>
      </c>
      <c r="N131" s="22">
        <f>Data!S132</f>
        <v>45782.849133888885</v>
      </c>
      <c r="O131" s="22">
        <f>Data!T132</f>
        <v>54789.541666666664</v>
      </c>
      <c r="P131" s="23" t="b">
        <f>OR(Data!$B$2&lt;Data!S132,Data!$B$2&gt;Data!T132)</f>
        <v>0</v>
      </c>
      <c r="Q131" s="23" t="str">
        <f>Data!J132</f>
        <v>GO Mode,Garmin,HOS,Iridium,UI</v>
      </c>
      <c r="R131" s="18" t="str">
        <f>Data!U132</f>
        <v>Version 9</v>
      </c>
      <c r="S131" s="18" t="str">
        <f>CONCATENATE(Data!V132,".",Data!W132,".",Data!X132)</f>
        <v>120.42.57</v>
      </c>
      <c r="T131" s="18" t="str">
        <f>Data!Y132</f>
        <v>G95XRDU5A7U0</v>
      </c>
      <c r="U131" s="18">
        <f>Data!Z132</f>
        <v>0</v>
      </c>
      <c r="V131" s="18">
        <f>Data!AA132</f>
        <v>0</v>
      </c>
      <c r="W131" s="18">
        <f>Data!AD132</f>
        <v>0</v>
      </c>
      <c r="X131" s="18" t="str">
        <f>Data!AF132</f>
        <v>Pacific/Auckland</v>
      </c>
      <c r="Y131" s="24" t="str">
        <f>IF(ISBLANK(Data!AG132),"",Data!AG132)</f>
        <v>Ammann Rammax ARR1575 Vibrating Trench</v>
      </c>
      <c r="Z131" s="18" t="str">
        <f>Data!AL132</f>
        <v>OK</v>
      </c>
      <c r="AA131" s="22">
        <f>Data!AH132</f>
        <v>45971.759019351855</v>
      </c>
      <c r="AB131" s="22">
        <f>IF(ISBLANK(Data!AI132),"",Data!AI132)</f>
        <v>45975.793799444444</v>
      </c>
    </row>
    <row r="132" spans="1:32">
      <c r="A132" s="18" t="str">
        <f>Data!A133</f>
        <v>703</v>
      </c>
      <c r="B132" s="18" t="str">
        <f>Data!C133</f>
        <v>Roller, Roller/Trade Staff, Trade Staff</v>
      </c>
      <c r="C132" s="18" t="str">
        <f>Data!B133</f>
        <v>b196</v>
      </c>
      <c r="D132" s="18">
        <f>Data!F133</f>
        <v>0</v>
      </c>
      <c r="E132" s="18">
        <f>Data!G133</f>
        <v>0</v>
      </c>
      <c r="F132" s="18">
        <f>Data!H133</f>
        <v>0</v>
      </c>
      <c r="G132" s="18" t="str">
        <f>Data!I133</f>
        <v>Standard Hours</v>
      </c>
      <c r="H132" s="18" t="str">
        <f>Data!K133</f>
        <v>Stopped</v>
      </c>
      <c r="I132" s="18" t="b">
        <f>Data!L133</f>
        <v>0</v>
      </c>
      <c r="J132" s="19" t="str">
        <f>Data!N133</f>
        <v>Mangawhai: Mangawhai Road, 0975, New Zealand</v>
      </c>
      <c r="K132" s="19" t="str">
        <f>Data!O133</f>
        <v>Project</v>
      </c>
      <c r="L132" s="20">
        <f>Data!Q133</f>
        <v>12.855100631713867</v>
      </c>
      <c r="M132" s="21">
        <f>Data!R133</f>
        <v>92.62222222222222</v>
      </c>
      <c r="N132" s="22">
        <f>Data!S133</f>
        <v>45782.852901840277</v>
      </c>
      <c r="O132" s="22">
        <f>Data!T133</f>
        <v>54789.541666666664</v>
      </c>
      <c r="P132" s="23" t="b">
        <f>OR(Data!$B$2&lt;Data!S133,Data!$B$2&gt;Data!T133)</f>
        <v>0</v>
      </c>
      <c r="Q132" s="23" t="str">
        <f>Data!J133</f>
        <v>GO Mode,Garmin,HOS,Iridium,UI</v>
      </c>
      <c r="R132" s="18" t="str">
        <f>Data!U133</f>
        <v>Version 9</v>
      </c>
      <c r="S132" s="18" t="str">
        <f>CONCATENATE(Data!V133,".",Data!W133,".",Data!X133)</f>
        <v>120.37.27</v>
      </c>
      <c r="T132" s="18" t="str">
        <f>Data!Y133</f>
        <v>G9S5WV6771TY</v>
      </c>
      <c r="U132" s="18" t="str">
        <f>Data!Z133</f>
        <v>NLA774</v>
      </c>
      <c r="V132" s="18">
        <f>Data!AA133</f>
        <v>0</v>
      </c>
      <c r="W132" s="18">
        <f>Data!AD133</f>
        <v>0</v>
      </c>
      <c r="X132" s="18" t="str">
        <f>Data!AF133</f>
        <v>Pacific/Auckland</v>
      </c>
      <c r="Y132" s="24" t="str">
        <f>IF(ISBLANK(Data!AG133),"",Data!AG133)</f>
        <v>12T Hamm 3412 HT Vibrating 2021</v>
      </c>
      <c r="Z132" s="18" t="str">
        <f>Data!AL133</f>
        <v>OK</v>
      </c>
      <c r="AA132" s="22">
        <f>Data!AH133</f>
        <v>45972.691922025464</v>
      </c>
      <c r="AB132" s="22">
        <f>IF(ISBLANK(Data!AI133),"",Data!AI133)</f>
        <v>45975.847280821756</v>
      </c>
    </row>
    <row r="133" spans="1:32">
      <c r="A133" s="18" t="str">
        <f>Data!A134</f>
        <v>879</v>
      </c>
      <c r="B133" s="18" t="str">
        <f>Data!C134</f>
        <v>Pump, Pump/Trade Staff, Trade Staff</v>
      </c>
      <c r="C133" s="18" t="str">
        <f>Data!B134</f>
        <v>b2C4</v>
      </c>
      <c r="D133" s="18">
        <f>Data!F134</f>
        <v>0</v>
      </c>
      <c r="E133" s="18">
        <f>Data!G134</f>
        <v>0</v>
      </c>
      <c r="F133" s="18">
        <f>Data!H134</f>
        <v>0</v>
      </c>
      <c r="G133" s="18" t="str">
        <f>Data!I134</f>
        <v>Standard Hours</v>
      </c>
      <c r="H133" s="18">
        <f>Data!K134</f>
        <v>0</v>
      </c>
      <c r="I133" s="18" t="b">
        <f>Data!L134</f>
        <v>0</v>
      </c>
      <c r="J133" s="19">
        <f>Data!N134</f>
        <v>0</v>
      </c>
      <c r="K133" s="19">
        <f>Data!O134</f>
        <v>0</v>
      </c>
      <c r="L133" s="20">
        <f>Data!Q134</f>
        <v>0</v>
      </c>
      <c r="M133" s="21">
        <f>Data!R134</f>
        <v>297.5</v>
      </c>
      <c r="N133" s="22">
        <f>Data!S134</f>
        <v>45929.437945127313</v>
      </c>
      <c r="O133" s="22">
        <f>Data!T134</f>
        <v>54789.541666666664</v>
      </c>
      <c r="P133" s="23" t="b">
        <f>OR(Data!$B$2&lt;Data!S134,Data!$B$2&gt;Data!T134)</f>
        <v>0</v>
      </c>
      <c r="Q133" s="23">
        <f>Data!J134</f>
        <v>0</v>
      </c>
      <c r="R133" s="18" t="str">
        <f>Data!U134</f>
        <v>None</v>
      </c>
      <c r="S133" s="18" t="str">
        <f>CONCATENATE(Data!V134,".",Data!W134,".",Data!X134)</f>
        <v>-1..</v>
      </c>
      <c r="T133" s="18">
        <f>Data!Y134</f>
        <v>0</v>
      </c>
      <c r="U133" s="18">
        <f>Data!Z134</f>
        <v>0</v>
      </c>
      <c r="V133" s="18">
        <f>Data!AA134</f>
        <v>0</v>
      </c>
      <c r="W133" s="18">
        <f>Data!AD134</f>
        <v>0</v>
      </c>
      <c r="X133" s="18" t="str">
        <f>Data!AF134</f>
        <v>UTC</v>
      </c>
      <c r="Y133" s="24" t="str">
        <f>IF(ISBLANK(Data!AG134),"",Data!AG134)</f>
        <v>Selwood 6" Dewatering Pump</v>
      </c>
      <c r="Z133" s="18">
        <f>Data!AL134</f>
        <v>0</v>
      </c>
      <c r="AA133" s="22">
        <f>Data!AH134</f>
        <v>0</v>
      </c>
      <c r="AB133" s="22" t="str">
        <f>IF(ISBLANK(Data!AI134),"",Data!AI134)</f>
        <v/>
      </c>
    </row>
    <row r="134" spans="1:32">
      <c r="A134" s="18" t="str">
        <f>Data!A135</f>
        <v>Battery Powered Asset Tracker</v>
      </c>
      <c r="B134" s="18" t="str">
        <f>Data!C135</f>
        <v>Generator</v>
      </c>
      <c r="C134" s="18" t="str">
        <f>Data!B135</f>
        <v>b1C0</v>
      </c>
      <c r="D134" s="18">
        <f>Data!F135</f>
        <v>0</v>
      </c>
      <c r="E134" s="18">
        <f>Data!G135</f>
        <v>0</v>
      </c>
      <c r="F134" s="18">
        <f>Data!H135</f>
        <v>0</v>
      </c>
      <c r="G134" s="18" t="str">
        <f>Data!I135</f>
        <v>Standard Hours</v>
      </c>
      <c r="H134" s="18">
        <f>Data!K135</f>
        <v>0</v>
      </c>
      <c r="I134" s="18" t="b">
        <f>Data!L135</f>
        <v>0</v>
      </c>
      <c r="J134" s="19">
        <f>Data!N135</f>
        <v>0</v>
      </c>
      <c r="K134" s="19">
        <f>Data!O135</f>
        <v>0</v>
      </c>
      <c r="L134" s="20">
        <f>Data!Q135</f>
        <v>0</v>
      </c>
      <c r="M134" s="21">
        <f>Data!R135</f>
        <v>0</v>
      </c>
      <c r="N134" s="22">
        <f>Data!S135</f>
        <v>45803.955554074077</v>
      </c>
      <c r="O134" s="22">
        <f>Data!T135</f>
        <v>54789.541666666664</v>
      </c>
      <c r="P134" s="23" t="b">
        <f>OR(Data!$B$2&lt;Data!S135,Data!$B$2&gt;Data!T135)</f>
        <v>0</v>
      </c>
      <c r="Q134" s="23">
        <f>Data!J135</f>
        <v>0</v>
      </c>
      <c r="R134" s="18" t="str">
        <f>Data!U135</f>
        <v>CustomVehicleDevice</v>
      </c>
      <c r="S134" s="18" t="str">
        <f>CONCATENATE(Data!V135,".",Data!W135,".",Data!X135)</f>
        <v>10022..</v>
      </c>
      <c r="T134" s="18" t="str">
        <f>Data!Y135</f>
        <v>CN7621ADDA29</v>
      </c>
      <c r="U134" s="18">
        <f>Data!Z135</f>
        <v>0</v>
      </c>
      <c r="V134" s="18">
        <f>Data!AA135</f>
        <v>0</v>
      </c>
      <c r="W134" s="18" t="str">
        <f>Data!AD135</f>
        <v>391482</v>
      </c>
      <c r="X134" s="18" t="str">
        <f>Data!AF135</f>
        <v>UTC</v>
      </c>
      <c r="Y134" s="24" t="str">
        <f>IF(ISBLANK(Data!AG135),"",Data!AG135)</f>
        <v/>
      </c>
      <c r="Z134" s="18">
        <f>Data!AL135</f>
        <v>0</v>
      </c>
      <c r="AA134" s="22">
        <f>Data!AH135</f>
        <v>0</v>
      </c>
      <c r="AB134" s="22" t="str">
        <f>IF(ISBLANK(Data!AI135),"",Data!AI135)</f>
        <v/>
      </c>
    </row>
    <row r="135" spans="1:32">
      <c r="A135" s="18" t="str">
        <f>Data!A136</f>
        <v>Faulty Unit - ex 610</v>
      </c>
      <c r="B135" s="18" t="str">
        <f>Data!C136</f>
        <v>Heavy Diesel Vehicles, HDV/Trade Staff, Trade Staff</v>
      </c>
      <c r="C135" s="18" t="str">
        <f>Data!B136</f>
        <v>bF6</v>
      </c>
      <c r="D135" s="18">
        <f>Data!F136</f>
        <v>0</v>
      </c>
      <c r="E135" s="18">
        <f>Data!G136</f>
        <v>0</v>
      </c>
      <c r="F135" s="18">
        <f>Data!H136</f>
        <v>0</v>
      </c>
      <c r="G135" s="18" t="str">
        <f>Data!I136</f>
        <v>Standard Hours</v>
      </c>
      <c r="H135" s="18" t="str">
        <f>Data!K136</f>
        <v>Stopped</v>
      </c>
      <c r="I135" s="18" t="b">
        <f>Data!L136</f>
        <v>0</v>
      </c>
      <c r="J135" s="19" t="str">
        <f>Data!N136</f>
        <v>49 Chatswood Grove, Chatswood, Auckland 0626, New Zealand</v>
      </c>
      <c r="K135" s="19">
        <f>Data!O136</f>
        <v>0</v>
      </c>
      <c r="L135" s="20">
        <f>Data!Q136</f>
        <v>178227.3125</v>
      </c>
      <c r="M135" s="21">
        <f>Data!R136</f>
        <v>130.24257331018518</v>
      </c>
      <c r="N135" s="22">
        <f>Data!S136</f>
        <v>45807.561648356481</v>
      </c>
      <c r="O135" s="22">
        <f>Data!T136</f>
        <v>54789.541666666664</v>
      </c>
      <c r="P135" s="23" t="b">
        <f>OR(Data!$B$2&lt;Data!S136,Data!$B$2&gt;Data!T136)</f>
        <v>0</v>
      </c>
      <c r="Q135" s="23" t="str">
        <f>Data!J136</f>
        <v>GO Mode,Garmin,HOS,Iridium,UI</v>
      </c>
      <c r="R135" s="18" t="str">
        <f>Data!U136</f>
        <v>Version 9</v>
      </c>
      <c r="S135" s="18" t="str">
        <f>CONCATENATE(Data!V136,".",Data!W136,".",Data!X136)</f>
        <v>120.42.53</v>
      </c>
      <c r="T135" s="18" t="str">
        <f>Data!Y136</f>
        <v>G943MMVR1HWW</v>
      </c>
      <c r="U135" s="18" t="str">
        <f>Data!Z136</f>
        <v>LDM30</v>
      </c>
      <c r="V135" s="18">
        <f>Data!AA136</f>
        <v>0</v>
      </c>
      <c r="W135" s="18">
        <f>Data!AD136</f>
        <v>0</v>
      </c>
      <c r="X135" s="18" t="str">
        <f>Data!AF136</f>
        <v>Pacific/Auckland</v>
      </c>
      <c r="Y135" s="24" t="str">
        <f>IF(ISBLANK(Data!AG136),"",Data!AG136)</f>
        <v>Hino 300 2009</v>
      </c>
      <c r="Z135" s="18" t="str">
        <f>Data!AL136</f>
        <v>Device is not downloading data</v>
      </c>
      <c r="AA135" s="22">
        <f>Data!AH136</f>
        <v>45928.838159722225</v>
      </c>
      <c r="AB135" s="22">
        <f>IF(ISBLANK(Data!AI136),"",Data!AI136)</f>
        <v>45932.053229166668</v>
      </c>
    </row>
    <row r="136" spans="1:32">
      <c r="A136" s="18" t="str">
        <f>Data!A137</f>
        <v>Hired Excavator</v>
      </c>
      <c r="B136" s="18" t="str">
        <f>Data!C137</f>
        <v>Digger, Excavator/Tradestaff, Trade Staff</v>
      </c>
      <c r="C136" s="18" t="str">
        <f>Data!B137</f>
        <v>b26D</v>
      </c>
      <c r="D136" s="18">
        <f>Data!F137</f>
        <v>0</v>
      </c>
      <c r="E136" s="18">
        <f>Data!G137</f>
        <v>0</v>
      </c>
      <c r="F136" s="18">
        <f>Data!H137</f>
        <v>0</v>
      </c>
      <c r="G136" s="18" t="str">
        <f>Data!I137</f>
        <v>Standard Hours</v>
      </c>
      <c r="H136" s="18">
        <f>Data!K137</f>
        <v>0</v>
      </c>
      <c r="I136" s="18" t="b">
        <f>Data!L137</f>
        <v>0</v>
      </c>
      <c r="J136" s="19">
        <f>Data!N137</f>
        <v>0</v>
      </c>
      <c r="K136" s="19">
        <f>Data!O137</f>
        <v>0</v>
      </c>
      <c r="L136" s="20">
        <f>Data!Q137</f>
        <v>0</v>
      </c>
      <c r="M136" s="21">
        <f>Data!R137</f>
        <v>0</v>
      </c>
      <c r="N136" s="22">
        <f>Data!S137</f>
        <v>45889.420082326389</v>
      </c>
      <c r="O136" s="22">
        <f>Data!T137</f>
        <v>54789.541666666664</v>
      </c>
      <c r="P136" s="23" t="b">
        <f>OR(Data!$B$2&lt;Data!S137,Data!$B$2&gt;Data!T137)</f>
        <v>0</v>
      </c>
      <c r="Q136" s="23">
        <f>Data!J137</f>
        <v>0</v>
      </c>
      <c r="R136" s="18" t="str">
        <f>Data!U137</f>
        <v>None</v>
      </c>
      <c r="S136" s="18" t="str">
        <f>CONCATENATE(Data!V137,".",Data!W137,".",Data!X137)</f>
        <v>-1..</v>
      </c>
      <c r="T136" s="18">
        <f>Data!Y137</f>
        <v>0</v>
      </c>
      <c r="U136" s="18">
        <f>Data!Z137</f>
        <v>0</v>
      </c>
      <c r="V136" s="18">
        <f>Data!AA137</f>
        <v>0</v>
      </c>
      <c r="W136" s="18" t="str">
        <f>Data!AD137</f>
        <v>1</v>
      </c>
      <c r="X136" s="18" t="str">
        <f>Data!AF137</f>
        <v>UTC</v>
      </c>
      <c r="Y136" s="24" t="str">
        <f>IF(ISBLANK(Data!AG137),"",Data!AG137)</f>
        <v/>
      </c>
      <c r="Z136" s="18">
        <f>Data!AL137</f>
        <v>0</v>
      </c>
      <c r="AA136" s="22">
        <f>Data!AH137</f>
        <v>0</v>
      </c>
      <c r="AB136" s="22" t="str">
        <f>IF(ISBLANK(Data!AI137),"",Data!AI137)</f>
        <v/>
      </c>
    </row>
    <row r="137" spans="1:32">
      <c r="A137" s="18" t="str">
        <f>Data!A138</f>
        <v>Hired Loader</v>
      </c>
      <c r="B137" s="18" t="str">
        <f>Data!C138</f>
        <v>Loader, Loader/Trade Staff, Trade Staff</v>
      </c>
      <c r="C137" s="18" t="str">
        <f>Data!B138</f>
        <v>b270</v>
      </c>
      <c r="D137" s="18">
        <f>Data!F138</f>
        <v>0</v>
      </c>
      <c r="E137" s="18">
        <f>Data!G138</f>
        <v>0</v>
      </c>
      <c r="F137" s="18">
        <f>Data!H138</f>
        <v>0</v>
      </c>
      <c r="G137" s="18" t="str">
        <f>Data!I138</f>
        <v>Standard Hours</v>
      </c>
      <c r="H137" s="18">
        <f>Data!K138</f>
        <v>0</v>
      </c>
      <c r="I137" s="18" t="b">
        <f>Data!L138</f>
        <v>0</v>
      </c>
      <c r="J137" s="19">
        <f>Data!N138</f>
        <v>0</v>
      </c>
      <c r="K137" s="19">
        <f>Data!O138</f>
        <v>0</v>
      </c>
      <c r="L137" s="20">
        <f>Data!Q138</f>
        <v>0</v>
      </c>
      <c r="M137" s="21">
        <f>Data!R138</f>
        <v>0</v>
      </c>
      <c r="N137" s="22">
        <f>Data!S138</f>
        <v>45889.423682962966</v>
      </c>
      <c r="O137" s="22">
        <f>Data!T138</f>
        <v>54789.541666666664</v>
      </c>
      <c r="P137" s="23" t="b">
        <f>OR(Data!$B$2&lt;Data!S138,Data!$B$2&gt;Data!T138)</f>
        <v>0</v>
      </c>
      <c r="Q137" s="23">
        <f>Data!J138</f>
        <v>0</v>
      </c>
      <c r="R137" s="18" t="str">
        <f>Data!U138</f>
        <v>None</v>
      </c>
      <c r="S137" s="18" t="str">
        <f>CONCATENATE(Data!V138,".",Data!W138,".",Data!X138)</f>
        <v>-1..</v>
      </c>
      <c r="T137" s="18">
        <f>Data!Y138</f>
        <v>0</v>
      </c>
      <c r="U137" s="18">
        <f>Data!Z138</f>
        <v>0</v>
      </c>
      <c r="V137" s="18">
        <f>Data!AA138</f>
        <v>0</v>
      </c>
      <c r="W137" s="18" t="str">
        <f>Data!AD138</f>
        <v>4</v>
      </c>
      <c r="X137" s="18" t="str">
        <f>Data!AF138</f>
        <v>UTC</v>
      </c>
      <c r="Y137" s="24" t="str">
        <f>IF(ISBLANK(Data!AG138),"",Data!AG138)</f>
        <v/>
      </c>
      <c r="Z137" s="18">
        <f>Data!AL138</f>
        <v>0</v>
      </c>
      <c r="AA137" s="22">
        <f>Data!AH138</f>
        <v>0</v>
      </c>
      <c r="AB137" s="22" t="str">
        <f>IF(ISBLANK(Data!AI138),"",Data!AI138)</f>
        <v/>
      </c>
    </row>
    <row r="138" spans="1:32">
      <c r="A138" s="18" t="str">
        <f>Data!A139</f>
        <v>Hired Roller</v>
      </c>
      <c r="B138" s="18" t="str">
        <f>Data!C139</f>
        <v>Roller, Roller/Trade Staff, Trade Staff</v>
      </c>
      <c r="C138" s="18" t="str">
        <f>Data!B139</f>
        <v>b26F</v>
      </c>
      <c r="D138" s="18">
        <f>Data!F139</f>
        <v>0</v>
      </c>
      <c r="E138" s="18">
        <f>Data!G139</f>
        <v>0</v>
      </c>
      <c r="F138" s="18">
        <f>Data!H139</f>
        <v>0</v>
      </c>
      <c r="G138" s="18" t="str">
        <f>Data!I139</f>
        <v>Standard Hours</v>
      </c>
      <c r="H138" s="18">
        <f>Data!K139</f>
        <v>0</v>
      </c>
      <c r="I138" s="18" t="b">
        <f>Data!L139</f>
        <v>0</v>
      </c>
      <c r="J138" s="19">
        <f>Data!N139</f>
        <v>0</v>
      </c>
      <c r="K138" s="19">
        <f>Data!O139</f>
        <v>0</v>
      </c>
      <c r="L138" s="20">
        <f>Data!Q139</f>
        <v>0</v>
      </c>
      <c r="M138" s="21">
        <f>Data!R139</f>
        <v>0</v>
      </c>
      <c r="N138" s="22">
        <f>Data!S139</f>
        <v>45889.423059421293</v>
      </c>
      <c r="O138" s="22">
        <f>Data!T139</f>
        <v>54789.541666666664</v>
      </c>
      <c r="P138" s="23" t="b">
        <f>OR(Data!$B$2&lt;Data!S139,Data!$B$2&gt;Data!T139)</f>
        <v>0</v>
      </c>
      <c r="Q138" s="23">
        <f>Data!J139</f>
        <v>0</v>
      </c>
      <c r="R138" s="18" t="str">
        <f>Data!U139</f>
        <v>None</v>
      </c>
      <c r="S138" s="18" t="str">
        <f>CONCATENATE(Data!V139,".",Data!W139,".",Data!X139)</f>
        <v>-1..</v>
      </c>
      <c r="T138" s="18">
        <f>Data!Y139</f>
        <v>0</v>
      </c>
      <c r="U138" s="18">
        <f>Data!Z139</f>
        <v>0</v>
      </c>
      <c r="V138" s="18">
        <f>Data!AA139</f>
        <v>0</v>
      </c>
      <c r="W138" s="18" t="str">
        <f>Data!AD139</f>
        <v>3</v>
      </c>
      <c r="X138" s="18" t="str">
        <f>Data!AF139</f>
        <v>UTC</v>
      </c>
      <c r="Y138" s="24" t="str">
        <f>IF(ISBLANK(Data!AG139),"",Data!AG139)</f>
        <v/>
      </c>
      <c r="Z138" s="18">
        <f>Data!AL139</f>
        <v>0</v>
      </c>
      <c r="AA138" s="22">
        <f>Data!AH139</f>
        <v>0</v>
      </c>
      <c r="AB138" s="22" t="str">
        <f>IF(ISBLANK(Data!AI139),"",Data!AI139)</f>
        <v/>
      </c>
    </row>
    <row r="139" spans="1:32">
      <c r="A139" s="18" t="str">
        <f>Data!A140</f>
        <v>Hired Telehandler</v>
      </c>
      <c r="B139" s="18" t="str">
        <f>Data!C140</f>
        <v>Loader, Telehandler/Trade Staff, Trade Staff</v>
      </c>
      <c r="C139" s="18" t="str">
        <f>Data!B140</f>
        <v>b271</v>
      </c>
      <c r="D139" s="18">
        <f>Data!F140</f>
        <v>0</v>
      </c>
      <c r="E139" s="18">
        <f>Data!G140</f>
        <v>0</v>
      </c>
      <c r="F139" s="18">
        <f>Data!H140</f>
        <v>0</v>
      </c>
      <c r="G139" s="18" t="str">
        <f>Data!I140</f>
        <v>Standard Hours</v>
      </c>
      <c r="H139" s="18">
        <f>Data!K140</f>
        <v>0</v>
      </c>
      <c r="I139" s="18" t="b">
        <f>Data!L140</f>
        <v>0</v>
      </c>
      <c r="J139" s="19">
        <f>Data!N140</f>
        <v>0</v>
      </c>
      <c r="K139" s="19">
        <f>Data!O140</f>
        <v>0</v>
      </c>
      <c r="L139" s="20">
        <f>Data!Q140</f>
        <v>0</v>
      </c>
      <c r="M139" s="21">
        <f>Data!R140</f>
        <v>0</v>
      </c>
      <c r="N139" s="22">
        <f>Data!S140</f>
        <v>45889.424343900464</v>
      </c>
      <c r="O139" s="22">
        <f>Data!T140</f>
        <v>54789.541666666664</v>
      </c>
      <c r="P139" s="23" t="b">
        <f>OR(Data!$B$2&lt;Data!S140,Data!$B$2&gt;Data!T140)</f>
        <v>0</v>
      </c>
      <c r="Q139" s="23">
        <f>Data!J140</f>
        <v>0</v>
      </c>
      <c r="R139" s="18" t="str">
        <f>Data!U140</f>
        <v>None</v>
      </c>
      <c r="S139" s="18" t="str">
        <f>CONCATENATE(Data!V140,".",Data!W140,".",Data!X140)</f>
        <v>-1..</v>
      </c>
      <c r="T139" s="18">
        <f>Data!Y140</f>
        <v>0</v>
      </c>
      <c r="U139" s="18">
        <f>Data!Z140</f>
        <v>0</v>
      </c>
      <c r="V139" s="18">
        <f>Data!AA140</f>
        <v>0</v>
      </c>
      <c r="W139" s="18">
        <f>Data!AD140</f>
        <v>0</v>
      </c>
      <c r="X139" s="18" t="str">
        <f>Data!AF140</f>
        <v>UTC</v>
      </c>
      <c r="Y139" s="24" t="str">
        <f>IF(ISBLANK(Data!AG140),"",Data!AG140)</f>
        <v/>
      </c>
      <c r="Z139" s="18">
        <f>Data!AL140</f>
        <v>0</v>
      </c>
      <c r="AA139" s="22">
        <f>Data!AH140</f>
        <v>0</v>
      </c>
      <c r="AB139" s="22" t="str">
        <f>IF(ISBLANK(Data!AI140),"",Data!AI140)</f>
        <v/>
      </c>
    </row>
    <row r="140" spans="1:32">
      <c r="A140" s="18" t="str">
        <f>Data!A141</f>
        <v>Hired Truck</v>
      </c>
      <c r="B140" s="18" t="str">
        <f>Data!C141</f>
        <v>Heavy Diesel Vehicles, HDV/Trade Staff, Trade Staff</v>
      </c>
      <c r="C140" s="18" t="str">
        <f>Data!B141</f>
        <v>b26E</v>
      </c>
      <c r="D140" s="18">
        <f>Data!F141</f>
        <v>0</v>
      </c>
      <c r="E140" s="18">
        <f>Data!G141</f>
        <v>0</v>
      </c>
      <c r="F140" s="18">
        <f>Data!H141</f>
        <v>0</v>
      </c>
      <c r="G140" s="18" t="str">
        <f>Data!I141</f>
        <v>Standard Hours</v>
      </c>
      <c r="H140" s="18">
        <f>Data!K141</f>
        <v>0</v>
      </c>
      <c r="I140" s="18" t="b">
        <f>Data!L141</f>
        <v>0</v>
      </c>
      <c r="J140" s="19">
        <f>Data!N141</f>
        <v>0</v>
      </c>
      <c r="K140" s="19">
        <f>Data!O141</f>
        <v>0</v>
      </c>
      <c r="L140" s="20">
        <f>Data!Q141</f>
        <v>0</v>
      </c>
      <c r="M140" s="21">
        <f>Data!R141</f>
        <v>0</v>
      </c>
      <c r="N140" s="22">
        <f>Data!S141</f>
        <v>45889.4225243287</v>
      </c>
      <c r="O140" s="22">
        <f>Data!T141</f>
        <v>54789.541666666664</v>
      </c>
      <c r="P140" s="23" t="b">
        <f>OR(Data!$B$2&lt;Data!S141,Data!$B$2&gt;Data!T141)</f>
        <v>0</v>
      </c>
      <c r="Q140" s="23">
        <f>Data!J141</f>
        <v>0</v>
      </c>
      <c r="R140" s="18" t="str">
        <f>Data!U141</f>
        <v>None</v>
      </c>
      <c r="S140" s="18" t="str">
        <f>CONCATENATE(Data!V141,".",Data!W141,".",Data!X141)</f>
        <v>-1..</v>
      </c>
      <c r="T140" s="18">
        <f>Data!Y141</f>
        <v>0</v>
      </c>
      <c r="U140" s="18">
        <f>Data!Z141</f>
        <v>0</v>
      </c>
      <c r="V140" s="18">
        <f>Data!AA141</f>
        <v>0</v>
      </c>
      <c r="W140" s="18" t="str">
        <f>Data!AD141</f>
        <v>2</v>
      </c>
      <c r="X140" s="18" t="str">
        <f>Data!AF141</f>
        <v>UTC</v>
      </c>
      <c r="Y140" s="24" t="str">
        <f>IF(ISBLANK(Data!AG141),"",Data!AG141)</f>
        <v/>
      </c>
      <c r="Z140" s="18">
        <f>Data!AL141</f>
        <v>0</v>
      </c>
      <c r="AA140" s="22">
        <f>Data!AH141</f>
        <v>0</v>
      </c>
      <c r="AB140" s="22" t="str">
        <f>IF(ISBLANK(Data!AI141),"",Data!AI141)</f>
        <v/>
      </c>
    </row>
    <row r="141" spans="1:32">
      <c r="L141" s="12"/>
      <c r="M141" s="12"/>
      <c r="N141" s="13"/>
      <c r="O141" s="13"/>
      <c r="P141" s="13"/>
      <c r="Q141" s="13"/>
      <c r="Y141" s="14"/>
      <c r="Z141" s="15"/>
      <c r="AA141" s="14"/>
      <c r="AB141" s="14"/>
      <c r="AC141" s="14"/>
      <c r="AD141" s="14"/>
      <c r="AE141" s="15"/>
      <c r="AF141" s="15"/>
    </row>
    <row r="142" spans="1:32">
      <c r="L142" s="12"/>
      <c r="M142" s="12"/>
      <c r="N142" s="13"/>
      <c r="O142" s="13"/>
      <c r="P142" s="13"/>
      <c r="Q142" s="13"/>
      <c r="Y142" s="14"/>
      <c r="Z142" s="15"/>
      <c r="AA142" s="14"/>
      <c r="AB142" s="14"/>
      <c r="AC142" s="14"/>
      <c r="AD142" s="14"/>
      <c r="AE142" s="15"/>
      <c r="AF142" s="15"/>
    </row>
    <row r="143" spans="1:32">
      <c r="L143" s="12"/>
      <c r="M143" s="12"/>
      <c r="N143" s="13"/>
      <c r="O143" s="13"/>
      <c r="P143" s="13"/>
      <c r="Q143" s="13"/>
      <c r="Y143" s="14"/>
      <c r="Z143" s="15"/>
      <c r="AA143" s="14"/>
      <c r="AB143" s="14"/>
      <c r="AC143" s="14"/>
      <c r="AD143" s="14"/>
      <c r="AE143" s="15"/>
      <c r="AF143" s="15"/>
    </row>
    <row r="144" spans="1:32">
      <c r="L144" s="12"/>
      <c r="M144" s="12"/>
      <c r="N144" s="13"/>
      <c r="O144" s="13"/>
      <c r="P144" s="13"/>
      <c r="Q144" s="13"/>
      <c r="Y144" s="14"/>
      <c r="Z144" s="15"/>
      <c r="AA144" s="14"/>
      <c r="AB144" s="14"/>
      <c r="AC144" s="14"/>
      <c r="AD144" s="14"/>
      <c r="AE144" s="15"/>
      <c r="AF144" s="15"/>
    </row>
    <row r="145" spans="12:32">
      <c r="L145" s="12"/>
      <c r="M145" s="12"/>
      <c r="N145" s="13"/>
      <c r="O145" s="13"/>
      <c r="P145" s="13"/>
      <c r="Q145" s="13"/>
      <c r="Y145" s="14"/>
      <c r="Z145" s="15"/>
      <c r="AA145" s="14"/>
      <c r="AB145" s="14"/>
      <c r="AC145" s="14"/>
      <c r="AD145" s="14"/>
      <c r="AE145" s="15"/>
      <c r="AF145" s="15"/>
    </row>
    <row r="146" spans="12:32">
      <c r="L146" s="12"/>
      <c r="M146" s="12"/>
      <c r="N146" s="13"/>
      <c r="O146" s="13"/>
      <c r="P146" s="13"/>
      <c r="Q146" s="13"/>
      <c r="Y146" s="14"/>
      <c r="Z146" s="15"/>
      <c r="AA146" s="14"/>
      <c r="AB146" s="14"/>
      <c r="AC146" s="14"/>
      <c r="AD146" s="14"/>
      <c r="AE146" s="15"/>
      <c r="AF146" s="15"/>
    </row>
    <row r="147" spans="12:32">
      <c r="L147" s="12"/>
      <c r="M147" s="12"/>
      <c r="N147" s="13"/>
      <c r="O147" s="13"/>
      <c r="P147" s="13"/>
      <c r="Q147" s="13"/>
      <c r="Y147" s="14"/>
      <c r="Z147" s="15"/>
      <c r="AA147" s="14"/>
      <c r="AB147" s="14"/>
      <c r="AC147" s="14"/>
      <c r="AD147" s="14"/>
      <c r="AE147" s="15"/>
      <c r="AF147" s="15"/>
    </row>
    <row r="148" spans="12:32">
      <c r="L148" s="12"/>
      <c r="M148" s="12"/>
      <c r="N148" s="13"/>
      <c r="O148" s="13"/>
      <c r="P148" s="13"/>
      <c r="Q148" s="13"/>
      <c r="Y148" s="14"/>
      <c r="Z148" s="15"/>
      <c r="AA148" s="14"/>
      <c r="AB148" s="14"/>
      <c r="AC148" s="14"/>
      <c r="AD148" s="14"/>
      <c r="AE148" s="15"/>
      <c r="AF148" s="15"/>
    </row>
    <row r="149" spans="12:32">
      <c r="L149" s="12"/>
      <c r="M149" s="12"/>
      <c r="N149" s="13"/>
      <c r="O149" s="13"/>
      <c r="P149" s="13"/>
      <c r="Q149" s="13"/>
      <c r="Y149" s="14"/>
      <c r="Z149" s="15"/>
      <c r="AA149" s="14"/>
      <c r="AB149" s="14"/>
      <c r="AC149" s="14"/>
      <c r="AD149" s="14"/>
      <c r="AE149" s="15"/>
      <c r="AF149" s="15"/>
    </row>
    <row r="150" spans="12:32">
      <c r="L150" s="12"/>
      <c r="M150" s="12"/>
      <c r="N150" s="13"/>
      <c r="O150" s="13"/>
      <c r="P150" s="13"/>
      <c r="Q150" s="13"/>
      <c r="Y150" s="14"/>
      <c r="Z150" s="15"/>
      <c r="AA150" s="14"/>
      <c r="AB150" s="14"/>
      <c r="AC150" s="14"/>
      <c r="AD150" s="14"/>
      <c r="AE150" s="15"/>
      <c r="AF150" s="15"/>
    </row>
    <row r="151" spans="12:32">
      <c r="L151" s="12"/>
      <c r="M151" s="12"/>
      <c r="N151" s="13"/>
      <c r="O151" s="13"/>
      <c r="P151" s="13"/>
      <c r="Q151" s="13"/>
      <c r="Y151" s="14"/>
      <c r="Z151" s="15"/>
      <c r="AA151" s="14"/>
      <c r="AB151" s="14"/>
      <c r="AC151" s="14"/>
      <c r="AD151" s="14"/>
      <c r="AE151" s="15"/>
      <c r="AF151" s="15"/>
    </row>
    <row r="152" spans="12:32">
      <c r="L152" s="12"/>
      <c r="M152" s="12"/>
      <c r="N152" s="13"/>
      <c r="O152" s="13"/>
      <c r="P152" s="13"/>
      <c r="Q152" s="13"/>
      <c r="Y152" s="14"/>
      <c r="Z152" s="15"/>
      <c r="AA152" s="14"/>
      <c r="AB152" s="14"/>
      <c r="AC152" s="14"/>
      <c r="AD152" s="14"/>
      <c r="AE152" s="15"/>
      <c r="AF152" s="15"/>
    </row>
    <row r="153" spans="12:32">
      <c r="L153" s="12"/>
      <c r="M153" s="12"/>
      <c r="N153" s="13"/>
      <c r="O153" s="13"/>
      <c r="P153" s="13"/>
      <c r="Q153" s="13"/>
      <c r="Y153" s="14"/>
      <c r="Z153" s="15"/>
      <c r="AA153" s="14"/>
      <c r="AB153" s="14"/>
      <c r="AC153" s="14"/>
      <c r="AD153" s="14"/>
      <c r="AE153" s="15"/>
      <c r="AF153" s="15"/>
    </row>
    <row r="154" spans="12:32">
      <c r="L154" s="12"/>
      <c r="M154" s="12"/>
      <c r="N154" s="13"/>
      <c r="O154" s="13"/>
      <c r="P154" s="13"/>
      <c r="Q154" s="13"/>
      <c r="Y154" s="14"/>
      <c r="Z154" s="15"/>
      <c r="AA154" s="14"/>
      <c r="AB154" s="14"/>
      <c r="AC154" s="14"/>
      <c r="AD154" s="14"/>
      <c r="AE154" s="15"/>
      <c r="AF154" s="15"/>
    </row>
  </sheetData>
  <autoFilter ref="A7:AB7" xr:uid="{00000000-0009-0000-0000-000001000000}"/>
  <phoneticPr fontId="14" type="noConversion"/>
  <conditionalFormatting sqref="J8:J140">
    <cfRule type="expression" dxfId="38" priority="1" stopIfTrue="1">
      <formula>ISNUMBER(SEARCH("Customer Zone", K8))</formula>
    </cfRule>
    <cfRule type="expression" dxfId="37" priority="2" stopIfTrue="1">
      <formula>ISNUMBER(SEARCH("Home Zone", K8))</formula>
    </cfRule>
    <cfRule type="expression" dxfId="36" priority="3" stopIfTrue="1">
      <formula>ISNUMBER(SEARCH("Depot Zone", K8))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40"/>
  <sheetViews>
    <sheetView showGridLines="0" workbookViewId="0"/>
  </sheetViews>
  <sheetFormatPr defaultColWidth="9.140625" defaultRowHeight="16.5"/>
  <cols>
    <col min="1" max="2" width="25.42578125" style="10" customWidth="1"/>
    <col min="3" max="3" width="28" style="33" bestFit="1" customWidth="1"/>
    <col min="4" max="4" width="20.42578125" style="33" bestFit="1" customWidth="1"/>
    <col min="5" max="5" width="17.42578125" style="33" bestFit="1" customWidth="1"/>
    <col min="6" max="6" width="21.42578125" style="33" bestFit="1" customWidth="1"/>
    <col min="7" max="7" width="27.42578125" style="33" bestFit="1" customWidth="1"/>
    <col min="8" max="8" width="18.42578125" style="33" bestFit="1" customWidth="1"/>
    <col min="9" max="9" width="22.42578125" style="33" bestFit="1" customWidth="1"/>
    <col min="10" max="10" width="33.140625" style="33" bestFit="1" customWidth="1"/>
    <col min="11" max="11" width="9.42578125" style="10" bestFit="1" customWidth="1"/>
    <col min="12" max="12" width="22.42578125" style="10" bestFit="1" customWidth="1"/>
    <col min="13" max="13" width="19.42578125" style="10" bestFit="1" customWidth="1"/>
    <col min="14" max="14" width="20.42578125" style="10" customWidth="1"/>
    <col min="15" max="16384" width="9.140625" style="10"/>
  </cols>
  <sheetData>
    <row r="1" spans="1:17" s="28" customFormat="1" ht="25.5" customHeight="1">
      <c r="A1" s="27" t="s">
        <v>1749</v>
      </c>
      <c r="C1" s="29">
        <f>Data!B2</f>
        <v>45975.862932974538</v>
      </c>
      <c r="D1" s="43"/>
      <c r="E1" s="43"/>
      <c r="F1" s="43"/>
      <c r="G1" s="43"/>
      <c r="H1" s="29"/>
      <c r="I1" s="43"/>
      <c r="J1" s="29"/>
      <c r="K1" s="30"/>
      <c r="L1" s="31"/>
    </row>
    <row r="2" spans="1:17" ht="25.5" customHeight="1">
      <c r="A2" s="32" t="str">
        <f>Data!B1</f>
        <v>United Civil Construction Limited</v>
      </c>
      <c r="K2" s="34"/>
      <c r="L2" s="35"/>
    </row>
    <row r="3" spans="1:17" ht="17.45" customHeight="1">
      <c r="A3" s="16"/>
    </row>
    <row r="4" spans="1:17" ht="17.45" customHeight="1">
      <c r="A4" s="38" t="s">
        <v>1750</v>
      </c>
      <c r="B4" s="40" t="str">
        <f>Data!B3</f>
        <v>Pacific/Auckland</v>
      </c>
      <c r="C4" s="44"/>
      <c r="D4" s="44"/>
      <c r="E4" s="44"/>
      <c r="F4" s="44"/>
      <c r="G4" s="44"/>
    </row>
    <row r="5" spans="1:17" ht="17.45" customHeight="1">
      <c r="A5" s="38" t="s">
        <v>1751</v>
      </c>
      <c r="B5" s="40" t="str">
        <f>Data!B4</f>
        <v>km</v>
      </c>
      <c r="C5" s="45"/>
      <c r="D5" s="45"/>
      <c r="E5" s="45"/>
      <c r="F5" s="45"/>
      <c r="G5" s="45"/>
      <c r="H5" s="45"/>
      <c r="Q5" s="11"/>
    </row>
    <row r="6" spans="1:17">
      <c r="A6" s="41"/>
      <c r="B6" s="42"/>
    </row>
    <row r="7" spans="1:17" s="39" customFormat="1" ht="17.25">
      <c r="A7" s="55" t="s">
        <v>1752</v>
      </c>
      <c r="B7" s="55" t="s">
        <v>1753</v>
      </c>
      <c r="C7" s="56" t="s">
        <v>1759</v>
      </c>
      <c r="D7" s="56" t="s">
        <v>1761</v>
      </c>
      <c r="E7" s="56" t="s">
        <v>1762</v>
      </c>
      <c r="F7" s="56" t="s">
        <v>1764</v>
      </c>
      <c r="G7" s="56" t="s">
        <v>1765</v>
      </c>
      <c r="H7" s="56" t="s">
        <v>1766</v>
      </c>
      <c r="I7" s="56" t="s">
        <v>1767</v>
      </c>
      <c r="J7" s="56" t="s">
        <v>1768</v>
      </c>
      <c r="K7" s="55" t="s">
        <v>0</v>
      </c>
      <c r="L7" s="55" t="s">
        <v>1769</v>
      </c>
    </row>
    <row r="8" spans="1:17">
      <c r="A8" s="54" t="s">
        <v>603</v>
      </c>
      <c r="B8" s="54" t="s">
        <v>605</v>
      </c>
      <c r="C8" s="59">
        <v>0</v>
      </c>
      <c r="D8" s="60">
        <v>45948.893391203703</v>
      </c>
      <c r="E8" s="60">
        <v>54789.541666666664</v>
      </c>
      <c r="F8" s="54" t="s">
        <v>610</v>
      </c>
      <c r="G8" s="54" t="s">
        <v>1773</v>
      </c>
      <c r="H8" s="54" t="s">
        <v>612</v>
      </c>
      <c r="I8" s="54">
        <v>0</v>
      </c>
      <c r="J8" s="54">
        <v>0</v>
      </c>
      <c r="K8" s="54">
        <v>0</v>
      </c>
      <c r="L8" s="54" t="s">
        <v>615</v>
      </c>
    </row>
    <row r="9" spans="1:17">
      <c r="A9" s="54" t="s">
        <v>619</v>
      </c>
      <c r="B9" s="54" t="s">
        <v>621</v>
      </c>
      <c r="C9" s="59">
        <v>283.65957641601563</v>
      </c>
      <c r="D9" s="60">
        <v>45782.820601851854</v>
      </c>
      <c r="E9" s="60">
        <v>54789.541666666664</v>
      </c>
      <c r="F9" s="54" t="s">
        <v>610</v>
      </c>
      <c r="G9" s="54" t="s">
        <v>1774</v>
      </c>
      <c r="H9" s="54" t="s">
        <v>630</v>
      </c>
      <c r="I9" s="54" t="s">
        <v>631</v>
      </c>
      <c r="J9" s="54">
        <v>0</v>
      </c>
      <c r="K9" s="54">
        <v>0</v>
      </c>
      <c r="L9" s="54" t="s">
        <v>601</v>
      </c>
    </row>
    <row r="10" spans="1:17">
      <c r="A10" s="54" t="s">
        <v>634</v>
      </c>
      <c r="B10" s="54" t="s">
        <v>636</v>
      </c>
      <c r="C10" s="59">
        <v>0</v>
      </c>
      <c r="D10" s="60">
        <v>45929.438657407409</v>
      </c>
      <c r="E10" s="60">
        <v>54789.541666666664</v>
      </c>
      <c r="F10" s="54" t="s">
        <v>638</v>
      </c>
      <c r="G10" s="54" t="s">
        <v>1775</v>
      </c>
      <c r="H10" s="54">
        <v>0</v>
      </c>
      <c r="I10" s="54">
        <v>0</v>
      </c>
      <c r="J10" s="54">
        <v>0</v>
      </c>
      <c r="K10" s="54">
        <v>0</v>
      </c>
      <c r="L10" s="54" t="s">
        <v>615</v>
      </c>
    </row>
    <row r="11" spans="1:17">
      <c r="A11" s="54" t="s">
        <v>641</v>
      </c>
      <c r="B11" s="54" t="s">
        <v>636</v>
      </c>
      <c r="C11" s="59">
        <v>0</v>
      </c>
      <c r="D11" s="60">
        <v>45929.439780092594</v>
      </c>
      <c r="E11" s="60">
        <v>54789.541666666664</v>
      </c>
      <c r="F11" s="54" t="s">
        <v>638</v>
      </c>
      <c r="G11" s="54" t="s">
        <v>1775</v>
      </c>
      <c r="H11" s="54">
        <v>0</v>
      </c>
      <c r="I11" s="54">
        <v>0</v>
      </c>
      <c r="J11" s="54">
        <v>0</v>
      </c>
      <c r="K11" s="54">
        <v>0</v>
      </c>
      <c r="L11" s="54" t="s">
        <v>615</v>
      </c>
    </row>
    <row r="12" spans="1:17">
      <c r="A12" s="54" t="s">
        <v>644</v>
      </c>
      <c r="B12" s="54" t="s">
        <v>646</v>
      </c>
      <c r="C12" s="59">
        <v>153.15072631835938</v>
      </c>
      <c r="D12" s="60">
        <v>45842.40625</v>
      </c>
      <c r="E12" s="60">
        <v>54789.541666666664</v>
      </c>
      <c r="F12" s="54" t="s">
        <v>610</v>
      </c>
      <c r="G12" s="54" t="s">
        <v>1774</v>
      </c>
      <c r="H12" s="54" t="s">
        <v>654</v>
      </c>
      <c r="I12" s="54">
        <v>0</v>
      </c>
      <c r="J12" s="54">
        <v>0</v>
      </c>
      <c r="K12" s="54">
        <v>0</v>
      </c>
      <c r="L12" s="54" t="s">
        <v>601</v>
      </c>
    </row>
    <row r="13" spans="1:17">
      <c r="A13" s="54" t="s">
        <v>657</v>
      </c>
      <c r="B13" s="54" t="s">
        <v>636</v>
      </c>
      <c r="C13" s="59">
        <v>0</v>
      </c>
      <c r="D13" s="60">
        <v>45929.440474537034</v>
      </c>
      <c r="E13" s="60">
        <v>54789.541666666664</v>
      </c>
      <c r="F13" s="54" t="s">
        <v>638</v>
      </c>
      <c r="G13" s="54" t="s">
        <v>1775</v>
      </c>
      <c r="H13" s="54">
        <v>0</v>
      </c>
      <c r="I13" s="54">
        <v>0</v>
      </c>
      <c r="J13" s="54">
        <v>0</v>
      </c>
      <c r="K13" s="54">
        <v>0</v>
      </c>
      <c r="L13" s="54" t="s">
        <v>615</v>
      </c>
    </row>
    <row r="14" spans="1:17">
      <c r="A14" s="54" t="s">
        <v>659</v>
      </c>
      <c r="B14" s="54" t="s">
        <v>621</v>
      </c>
      <c r="C14" s="59">
        <v>398.49600219726563</v>
      </c>
      <c r="D14" s="60">
        <v>45782.825092592589</v>
      </c>
      <c r="E14" s="60">
        <v>54789.541666666664</v>
      </c>
      <c r="F14" s="54" t="s">
        <v>610</v>
      </c>
      <c r="G14" s="54" t="s">
        <v>1774</v>
      </c>
      <c r="H14" s="54" t="s">
        <v>663</v>
      </c>
      <c r="I14" s="54">
        <v>0</v>
      </c>
      <c r="J14" s="54">
        <v>0</v>
      </c>
      <c r="K14" s="54">
        <v>0</v>
      </c>
      <c r="L14" s="54" t="s">
        <v>601</v>
      </c>
    </row>
    <row r="15" spans="1:17">
      <c r="A15" s="54" t="s">
        <v>666</v>
      </c>
      <c r="B15" s="54" t="s">
        <v>621</v>
      </c>
      <c r="C15" s="59">
        <v>41.567630767822266</v>
      </c>
      <c r="D15" s="60">
        <v>45782.834629629629</v>
      </c>
      <c r="E15" s="60">
        <v>54789.541666666664</v>
      </c>
      <c r="F15" s="54" t="s">
        <v>610</v>
      </c>
      <c r="G15" s="54" t="s">
        <v>1774</v>
      </c>
      <c r="H15" s="54" t="s">
        <v>668</v>
      </c>
      <c r="I15" s="54">
        <v>0</v>
      </c>
      <c r="J15" s="54">
        <v>0</v>
      </c>
      <c r="K15" s="54">
        <v>0</v>
      </c>
      <c r="L15" s="54" t="s">
        <v>601</v>
      </c>
    </row>
    <row r="16" spans="1:17">
      <c r="A16" s="54" t="s">
        <v>670</v>
      </c>
      <c r="B16" s="54" t="s">
        <v>672</v>
      </c>
      <c r="C16" s="59">
        <v>229.87763977050781</v>
      </c>
      <c r="D16" s="60">
        <v>45782.834166666667</v>
      </c>
      <c r="E16" s="60">
        <v>54789.541666666664</v>
      </c>
      <c r="F16" s="54" t="s">
        <v>610</v>
      </c>
      <c r="G16" s="54" t="s">
        <v>1774</v>
      </c>
      <c r="H16" s="54" t="s">
        <v>677</v>
      </c>
      <c r="I16" s="54">
        <v>0</v>
      </c>
      <c r="J16" s="54">
        <v>0</v>
      </c>
      <c r="K16" s="54">
        <v>0</v>
      </c>
      <c r="L16" s="54" t="s">
        <v>601</v>
      </c>
    </row>
    <row r="17" spans="1:12">
      <c r="A17" s="54" t="s">
        <v>680</v>
      </c>
      <c r="B17" s="54" t="s">
        <v>672</v>
      </c>
      <c r="C17" s="59">
        <v>265.51220703125</v>
      </c>
      <c r="D17" s="60">
        <v>45782.834386574075</v>
      </c>
      <c r="E17" s="60">
        <v>54789.541666666664</v>
      </c>
      <c r="F17" s="54" t="s">
        <v>610</v>
      </c>
      <c r="G17" s="54" t="s">
        <v>1774</v>
      </c>
      <c r="H17" s="54" t="s">
        <v>682</v>
      </c>
      <c r="I17" s="54">
        <v>0</v>
      </c>
      <c r="J17" s="54">
        <v>0</v>
      </c>
      <c r="K17" s="54">
        <v>0</v>
      </c>
      <c r="L17" s="54" t="s">
        <v>601</v>
      </c>
    </row>
    <row r="18" spans="1:12">
      <c r="A18" s="54" t="s">
        <v>684</v>
      </c>
      <c r="B18" s="54" t="s">
        <v>621</v>
      </c>
      <c r="C18" s="59">
        <v>244.47006225585938</v>
      </c>
      <c r="D18" s="60">
        <v>45782.83390046296</v>
      </c>
      <c r="E18" s="60">
        <v>54789.541666666664</v>
      </c>
      <c r="F18" s="54" t="s">
        <v>610</v>
      </c>
      <c r="G18" s="54" t="s">
        <v>1774</v>
      </c>
      <c r="H18" s="54" t="s">
        <v>687</v>
      </c>
      <c r="I18" s="54">
        <v>0</v>
      </c>
      <c r="J18" s="54">
        <v>0</v>
      </c>
      <c r="K18" s="54">
        <v>0</v>
      </c>
      <c r="L18" s="54" t="s">
        <v>601</v>
      </c>
    </row>
    <row r="19" spans="1:12">
      <c r="A19" s="54" t="s">
        <v>689</v>
      </c>
      <c r="B19" s="54" t="s">
        <v>621</v>
      </c>
      <c r="C19" s="59">
        <v>549.59197998046875</v>
      </c>
      <c r="D19" s="60">
        <v>45782.834861111114</v>
      </c>
      <c r="E19" s="60">
        <v>54789.541666666664</v>
      </c>
      <c r="F19" s="54" t="s">
        <v>610</v>
      </c>
      <c r="G19" s="54" t="s">
        <v>1774</v>
      </c>
      <c r="H19" s="54" t="s">
        <v>693</v>
      </c>
      <c r="I19" s="54">
        <v>0</v>
      </c>
      <c r="J19" s="54">
        <v>0</v>
      </c>
      <c r="K19" s="54">
        <v>0</v>
      </c>
      <c r="L19" s="54" t="s">
        <v>601</v>
      </c>
    </row>
    <row r="20" spans="1:12">
      <c r="A20" s="54" t="s">
        <v>694</v>
      </c>
      <c r="B20" s="54" t="s">
        <v>696</v>
      </c>
      <c r="C20" s="59">
        <v>0</v>
      </c>
      <c r="D20" s="60">
        <v>45929.441631944443</v>
      </c>
      <c r="E20" s="60">
        <v>54789.541666666664</v>
      </c>
      <c r="F20" s="54" t="s">
        <v>638</v>
      </c>
      <c r="G20" s="54" t="s">
        <v>1775</v>
      </c>
      <c r="H20" s="54">
        <v>0</v>
      </c>
      <c r="I20" s="54">
        <v>0</v>
      </c>
      <c r="J20" s="54">
        <v>0</v>
      </c>
      <c r="K20" s="54">
        <v>0</v>
      </c>
      <c r="L20" s="54" t="s">
        <v>615</v>
      </c>
    </row>
    <row r="21" spans="1:12">
      <c r="A21" s="54" t="s">
        <v>699</v>
      </c>
      <c r="B21" s="54" t="s">
        <v>621</v>
      </c>
      <c r="C21" s="59">
        <v>132.82075500488281</v>
      </c>
      <c r="D21" s="60">
        <v>45782.835069444445</v>
      </c>
      <c r="E21" s="60">
        <v>54789.541666666664</v>
      </c>
      <c r="F21" s="54" t="s">
        <v>610</v>
      </c>
      <c r="G21" s="54" t="s">
        <v>1774</v>
      </c>
      <c r="H21" s="54" t="s">
        <v>706</v>
      </c>
      <c r="I21" s="54">
        <v>0</v>
      </c>
      <c r="J21" s="54">
        <v>0</v>
      </c>
      <c r="K21" s="54">
        <v>0</v>
      </c>
      <c r="L21" s="54" t="s">
        <v>601</v>
      </c>
    </row>
    <row r="22" spans="1:12">
      <c r="A22" s="54" t="s">
        <v>708</v>
      </c>
      <c r="B22" s="54" t="s">
        <v>672</v>
      </c>
      <c r="C22" s="59">
        <v>307.37078857421875</v>
      </c>
      <c r="D22" s="60">
        <v>45782.835324074076</v>
      </c>
      <c r="E22" s="60">
        <v>54789.541666666664</v>
      </c>
      <c r="F22" s="54" t="s">
        <v>610</v>
      </c>
      <c r="G22" s="54" t="s">
        <v>1774</v>
      </c>
      <c r="H22" s="54" t="s">
        <v>711</v>
      </c>
      <c r="I22" s="54">
        <v>0</v>
      </c>
      <c r="J22" s="54">
        <v>0</v>
      </c>
      <c r="K22" s="54">
        <v>0</v>
      </c>
      <c r="L22" s="54" t="s">
        <v>601</v>
      </c>
    </row>
    <row r="23" spans="1:12">
      <c r="A23" s="54" t="s">
        <v>713</v>
      </c>
      <c r="B23" s="54" t="s">
        <v>621</v>
      </c>
      <c r="C23" s="59">
        <v>353.31463623046875</v>
      </c>
      <c r="D23" s="60">
        <v>45782.835543981484</v>
      </c>
      <c r="E23" s="60">
        <v>54789.541666666664</v>
      </c>
      <c r="F23" s="54" t="s">
        <v>610</v>
      </c>
      <c r="G23" s="54" t="s">
        <v>1774</v>
      </c>
      <c r="H23" s="54" t="s">
        <v>717</v>
      </c>
      <c r="I23" s="54">
        <v>0</v>
      </c>
      <c r="J23" s="54">
        <v>0</v>
      </c>
      <c r="K23" s="54">
        <v>0</v>
      </c>
      <c r="L23" s="54" t="s">
        <v>601</v>
      </c>
    </row>
    <row r="24" spans="1:12">
      <c r="A24" s="54" t="s">
        <v>719</v>
      </c>
      <c r="B24" s="54" t="s">
        <v>621</v>
      </c>
      <c r="C24" s="59">
        <v>361.92507934570313</v>
      </c>
      <c r="D24" s="60">
        <v>45782.836053240739</v>
      </c>
      <c r="E24" s="60">
        <v>54789.541666666664</v>
      </c>
      <c r="F24" s="54" t="s">
        <v>610</v>
      </c>
      <c r="G24" s="54" t="s">
        <v>1774</v>
      </c>
      <c r="H24" s="54" t="s">
        <v>723</v>
      </c>
      <c r="I24" s="54">
        <v>0</v>
      </c>
      <c r="J24" s="54">
        <v>0</v>
      </c>
      <c r="K24" s="54">
        <v>0</v>
      </c>
      <c r="L24" s="54" t="s">
        <v>601</v>
      </c>
    </row>
    <row r="25" spans="1:12">
      <c r="A25" s="54" t="s">
        <v>725</v>
      </c>
      <c r="B25" s="54" t="s">
        <v>672</v>
      </c>
      <c r="C25" s="59">
        <v>218.27239990234375</v>
      </c>
      <c r="D25" s="60">
        <v>45782.836469907408</v>
      </c>
      <c r="E25" s="60">
        <v>54789.541666666664</v>
      </c>
      <c r="F25" s="54" t="s">
        <v>610</v>
      </c>
      <c r="G25" s="54" t="s">
        <v>1774</v>
      </c>
      <c r="H25" s="54" t="s">
        <v>728</v>
      </c>
      <c r="I25" s="54">
        <v>0</v>
      </c>
      <c r="J25" s="54">
        <v>0</v>
      </c>
      <c r="K25" s="54">
        <v>0</v>
      </c>
      <c r="L25" s="54" t="s">
        <v>601</v>
      </c>
    </row>
    <row r="26" spans="1:12">
      <c r="A26" s="54" t="s">
        <v>730</v>
      </c>
      <c r="B26" s="54" t="s">
        <v>672</v>
      </c>
      <c r="C26" s="59">
        <v>201.37394714355469</v>
      </c>
      <c r="D26" s="60">
        <v>45782.837083333332</v>
      </c>
      <c r="E26" s="60">
        <v>54789.541666666664</v>
      </c>
      <c r="F26" s="54" t="s">
        <v>610</v>
      </c>
      <c r="G26" s="54" t="s">
        <v>1774</v>
      </c>
      <c r="H26" s="54" t="s">
        <v>733</v>
      </c>
      <c r="I26" s="54">
        <v>0</v>
      </c>
      <c r="J26" s="54">
        <v>0</v>
      </c>
      <c r="K26" s="54">
        <v>0</v>
      </c>
      <c r="L26" s="54" t="s">
        <v>601</v>
      </c>
    </row>
    <row r="27" spans="1:12">
      <c r="A27" s="54" t="s">
        <v>735</v>
      </c>
      <c r="B27" s="54" t="s">
        <v>621</v>
      </c>
      <c r="C27" s="59">
        <v>10.799478530883789</v>
      </c>
      <c r="D27" s="60">
        <v>45782.838773148149</v>
      </c>
      <c r="E27" s="60">
        <v>54789.541666666664</v>
      </c>
      <c r="F27" s="54" t="s">
        <v>610</v>
      </c>
      <c r="G27" s="54" t="s">
        <v>1774</v>
      </c>
      <c r="H27" s="54" t="s">
        <v>738</v>
      </c>
      <c r="I27" s="54">
        <v>0</v>
      </c>
      <c r="J27" s="54">
        <v>0</v>
      </c>
      <c r="K27" s="54">
        <v>0</v>
      </c>
      <c r="L27" s="54" t="s">
        <v>601</v>
      </c>
    </row>
    <row r="28" spans="1:12">
      <c r="A28" s="54" t="s">
        <v>740</v>
      </c>
      <c r="B28" s="54" t="s">
        <v>621</v>
      </c>
      <c r="C28" s="59">
        <v>1909.9971923828125</v>
      </c>
      <c r="D28" s="60">
        <v>45782.839317129627</v>
      </c>
      <c r="E28" s="60">
        <v>54789.541666666664</v>
      </c>
      <c r="F28" s="54" t="s">
        <v>610</v>
      </c>
      <c r="G28" s="54" t="s">
        <v>1774</v>
      </c>
      <c r="H28" s="54" t="s">
        <v>746</v>
      </c>
      <c r="I28" s="54">
        <v>0</v>
      </c>
      <c r="J28" s="54">
        <v>0</v>
      </c>
      <c r="K28" s="54">
        <v>0</v>
      </c>
      <c r="L28" s="54" t="s">
        <v>601</v>
      </c>
    </row>
    <row r="29" spans="1:12">
      <c r="A29" s="54" t="s">
        <v>748</v>
      </c>
      <c r="B29" s="54" t="s">
        <v>621</v>
      </c>
      <c r="C29" s="59">
        <v>584.02374267578125</v>
      </c>
      <c r="D29" s="60">
        <v>45842.406736111108</v>
      </c>
      <c r="E29" s="60">
        <v>54789.541666666664</v>
      </c>
      <c r="F29" s="54" t="s">
        <v>610</v>
      </c>
      <c r="G29" s="54" t="s">
        <v>1774</v>
      </c>
      <c r="H29" s="54" t="s">
        <v>753</v>
      </c>
      <c r="I29" s="54">
        <v>0</v>
      </c>
      <c r="J29" s="54">
        <v>0</v>
      </c>
      <c r="K29" s="54">
        <v>0</v>
      </c>
      <c r="L29" s="54" t="s">
        <v>601</v>
      </c>
    </row>
    <row r="30" spans="1:12">
      <c r="A30" s="54" t="s">
        <v>754</v>
      </c>
      <c r="B30" s="54" t="s">
        <v>621</v>
      </c>
      <c r="C30" s="59">
        <v>439.5015869140625</v>
      </c>
      <c r="D30" s="60">
        <v>45782.833587962959</v>
      </c>
      <c r="E30" s="60">
        <v>54789.541666666664</v>
      </c>
      <c r="F30" s="54" t="s">
        <v>610</v>
      </c>
      <c r="G30" s="54" t="s">
        <v>1774</v>
      </c>
      <c r="H30" s="54" t="s">
        <v>757</v>
      </c>
      <c r="I30" s="54">
        <v>0</v>
      </c>
      <c r="J30" s="54">
        <v>0</v>
      </c>
      <c r="K30" s="54">
        <v>0</v>
      </c>
      <c r="L30" s="54" t="s">
        <v>601</v>
      </c>
    </row>
    <row r="31" spans="1:12">
      <c r="A31" s="54" t="s">
        <v>758</v>
      </c>
      <c r="B31" s="54" t="s">
        <v>621</v>
      </c>
      <c r="C31" s="59">
        <v>494.29266357421875</v>
      </c>
      <c r="D31" s="60">
        <v>45782.841354166667</v>
      </c>
      <c r="E31" s="60">
        <v>54789.541666666664</v>
      </c>
      <c r="F31" s="54" t="s">
        <v>610</v>
      </c>
      <c r="G31" s="54" t="s">
        <v>1776</v>
      </c>
      <c r="H31" s="54" t="s">
        <v>766</v>
      </c>
      <c r="I31" s="54">
        <v>0</v>
      </c>
      <c r="J31" s="54">
        <v>0</v>
      </c>
      <c r="K31" s="54">
        <v>0</v>
      </c>
      <c r="L31" s="54" t="s">
        <v>601</v>
      </c>
    </row>
    <row r="32" spans="1:12">
      <c r="A32" s="54" t="s">
        <v>769</v>
      </c>
      <c r="B32" s="54" t="s">
        <v>771</v>
      </c>
      <c r="C32" s="59">
        <v>11.266311645507813</v>
      </c>
      <c r="D32" s="60">
        <v>45724.472685185188</v>
      </c>
      <c r="E32" s="60">
        <v>54789.541666666664</v>
      </c>
      <c r="F32" s="54" t="s">
        <v>610</v>
      </c>
      <c r="G32" s="54" t="s">
        <v>1777</v>
      </c>
      <c r="H32" s="54" t="s">
        <v>777</v>
      </c>
      <c r="I32" s="54">
        <v>0</v>
      </c>
      <c r="J32" s="54">
        <v>0</v>
      </c>
      <c r="K32" s="54">
        <v>0</v>
      </c>
      <c r="L32" s="54" t="s">
        <v>601</v>
      </c>
    </row>
    <row r="33" spans="1:12">
      <c r="A33" s="54" t="s">
        <v>779</v>
      </c>
      <c r="B33" s="54" t="s">
        <v>781</v>
      </c>
      <c r="C33" s="59">
        <v>1218.7342529296875</v>
      </c>
      <c r="D33" s="60">
        <v>45826.451898148145</v>
      </c>
      <c r="E33" s="60">
        <v>54789.541666666664</v>
      </c>
      <c r="F33" s="54" t="s">
        <v>610</v>
      </c>
      <c r="G33" s="54" t="s">
        <v>1774</v>
      </c>
      <c r="H33" s="54" t="s">
        <v>787</v>
      </c>
      <c r="I33" s="54" t="s">
        <v>788</v>
      </c>
      <c r="J33" s="54">
        <v>0</v>
      </c>
      <c r="K33" s="54">
        <v>0</v>
      </c>
      <c r="L33" s="54" t="s">
        <v>601</v>
      </c>
    </row>
    <row r="34" spans="1:12">
      <c r="A34" s="54" t="s">
        <v>791</v>
      </c>
      <c r="B34" s="54" t="s">
        <v>793</v>
      </c>
      <c r="C34" s="59">
        <v>33.721221923828125</v>
      </c>
      <c r="D34" s="60">
        <v>45782.84207175926</v>
      </c>
      <c r="E34" s="60">
        <v>54789.541666666664</v>
      </c>
      <c r="F34" s="54" t="s">
        <v>610</v>
      </c>
      <c r="G34" s="54" t="s">
        <v>1774</v>
      </c>
      <c r="H34" s="54" t="s">
        <v>800</v>
      </c>
      <c r="I34" s="54" t="s">
        <v>801</v>
      </c>
      <c r="J34" s="54">
        <v>0</v>
      </c>
      <c r="K34" s="54">
        <v>0</v>
      </c>
      <c r="L34" s="54" t="s">
        <v>601</v>
      </c>
    </row>
    <row r="35" spans="1:12">
      <c r="A35" s="54" t="s">
        <v>803</v>
      </c>
      <c r="B35" s="54" t="s">
        <v>793</v>
      </c>
      <c r="C35" s="59">
        <v>1046.334228515625</v>
      </c>
      <c r="D35" s="60">
        <v>45782.842569444445</v>
      </c>
      <c r="E35" s="60">
        <v>54789.541666666664</v>
      </c>
      <c r="F35" s="54" t="s">
        <v>610</v>
      </c>
      <c r="G35" s="54" t="s">
        <v>1774</v>
      </c>
      <c r="H35" s="54" t="s">
        <v>805</v>
      </c>
      <c r="I35" s="54" t="s">
        <v>806</v>
      </c>
      <c r="J35" s="54">
        <v>0</v>
      </c>
      <c r="K35" s="54">
        <v>0</v>
      </c>
      <c r="L35" s="54" t="s">
        <v>601</v>
      </c>
    </row>
    <row r="36" spans="1:12">
      <c r="A36" s="54" t="s">
        <v>808</v>
      </c>
      <c r="B36" s="54" t="s">
        <v>810</v>
      </c>
      <c r="C36" s="59">
        <v>0</v>
      </c>
      <c r="D36" s="60">
        <v>45959.562789351854</v>
      </c>
      <c r="E36" s="60">
        <v>54789.541666666664</v>
      </c>
      <c r="F36" s="54" t="s">
        <v>638</v>
      </c>
      <c r="G36" s="54" t="s">
        <v>1775</v>
      </c>
      <c r="H36" s="54">
        <v>0</v>
      </c>
      <c r="I36" s="54">
        <v>0</v>
      </c>
      <c r="J36" s="54">
        <v>0</v>
      </c>
      <c r="K36" s="54">
        <v>0</v>
      </c>
      <c r="L36" s="54" t="s">
        <v>615</v>
      </c>
    </row>
    <row r="37" spans="1:12">
      <c r="A37" s="54" t="s">
        <v>813</v>
      </c>
      <c r="B37" s="54" t="s">
        <v>815</v>
      </c>
      <c r="C37" s="59">
        <v>577.3826904296875</v>
      </c>
      <c r="D37" s="60">
        <v>45782.843136574076</v>
      </c>
      <c r="E37" s="60">
        <v>54789.541666666664</v>
      </c>
      <c r="F37" s="54" t="s">
        <v>610</v>
      </c>
      <c r="G37" s="54" t="s">
        <v>1774</v>
      </c>
      <c r="H37" s="54" t="s">
        <v>818</v>
      </c>
      <c r="I37" s="54" t="s">
        <v>819</v>
      </c>
      <c r="J37" s="54">
        <v>0</v>
      </c>
      <c r="K37" s="54">
        <v>0</v>
      </c>
      <c r="L37" s="54" t="s">
        <v>601</v>
      </c>
    </row>
    <row r="38" spans="1:12">
      <c r="A38" s="54" t="s">
        <v>821</v>
      </c>
      <c r="B38" s="54" t="s">
        <v>815</v>
      </c>
      <c r="C38" s="59">
        <v>1619.086181640625</v>
      </c>
      <c r="D38" s="60">
        <v>45782.8437037037</v>
      </c>
      <c r="E38" s="60">
        <v>54789.541666666664</v>
      </c>
      <c r="F38" s="54" t="s">
        <v>610</v>
      </c>
      <c r="G38" s="54" t="s">
        <v>1774</v>
      </c>
      <c r="H38" s="54" t="s">
        <v>827</v>
      </c>
      <c r="I38" s="54" t="s">
        <v>828</v>
      </c>
      <c r="J38" s="54">
        <v>0</v>
      </c>
      <c r="K38" s="54">
        <v>0</v>
      </c>
      <c r="L38" s="54" t="s">
        <v>601</v>
      </c>
    </row>
    <row r="39" spans="1:12">
      <c r="A39" s="54" t="s">
        <v>830</v>
      </c>
      <c r="B39" s="54" t="s">
        <v>815</v>
      </c>
      <c r="C39" s="59">
        <v>102.41561126708984</v>
      </c>
      <c r="D39" s="60">
        <v>45861.618703703702</v>
      </c>
      <c r="E39" s="60">
        <v>54789.541666666664</v>
      </c>
      <c r="F39" s="54" t="s">
        <v>610</v>
      </c>
      <c r="G39" s="54" t="s">
        <v>1776</v>
      </c>
      <c r="H39" s="54" t="s">
        <v>832</v>
      </c>
      <c r="I39" s="54" t="s">
        <v>833</v>
      </c>
      <c r="J39" s="54">
        <v>0</v>
      </c>
      <c r="K39" s="54">
        <v>0</v>
      </c>
      <c r="L39" s="54" t="s">
        <v>601</v>
      </c>
    </row>
    <row r="40" spans="1:12">
      <c r="A40" s="54" t="s">
        <v>834</v>
      </c>
      <c r="B40" s="54" t="s">
        <v>815</v>
      </c>
      <c r="C40" s="59">
        <v>525.92376708984375</v>
      </c>
      <c r="D40" s="60">
        <v>45782.846030092594</v>
      </c>
      <c r="E40" s="60">
        <v>54789.541666666664</v>
      </c>
      <c r="F40" s="54" t="s">
        <v>610</v>
      </c>
      <c r="G40" s="54" t="s">
        <v>1774</v>
      </c>
      <c r="H40" s="54" t="s">
        <v>837</v>
      </c>
      <c r="I40" s="54" t="s">
        <v>838</v>
      </c>
      <c r="J40" s="54">
        <v>0</v>
      </c>
      <c r="K40" s="54">
        <v>0</v>
      </c>
      <c r="L40" s="54" t="s">
        <v>601</v>
      </c>
    </row>
    <row r="41" spans="1:12">
      <c r="A41" s="54" t="s">
        <v>839</v>
      </c>
      <c r="B41" s="54" t="s">
        <v>841</v>
      </c>
      <c r="C41" s="59">
        <v>513.3499755859375</v>
      </c>
      <c r="D41" s="60">
        <v>45895.666041666664</v>
      </c>
      <c r="E41" s="60">
        <v>54789.541666666664</v>
      </c>
      <c r="F41" s="54" t="s">
        <v>610</v>
      </c>
      <c r="G41" s="54" t="s">
        <v>1774</v>
      </c>
      <c r="H41" s="54" t="s">
        <v>844</v>
      </c>
      <c r="I41" s="54">
        <v>0</v>
      </c>
      <c r="J41" s="54">
        <v>0</v>
      </c>
      <c r="K41" s="54">
        <v>0</v>
      </c>
      <c r="L41" s="54" t="s">
        <v>601</v>
      </c>
    </row>
    <row r="42" spans="1:12">
      <c r="A42" s="54" t="s">
        <v>846</v>
      </c>
      <c r="B42" s="54" t="s">
        <v>848</v>
      </c>
      <c r="C42" s="59">
        <v>171325.34375</v>
      </c>
      <c r="D42" s="60">
        <v>45782.958379629628</v>
      </c>
      <c r="E42" s="60">
        <v>54789.541666666664</v>
      </c>
      <c r="F42" s="54" t="s">
        <v>610</v>
      </c>
      <c r="G42" s="54" t="s">
        <v>1774</v>
      </c>
      <c r="H42" s="54" t="s">
        <v>852</v>
      </c>
      <c r="I42" s="54">
        <v>0</v>
      </c>
      <c r="J42" s="54">
        <v>0</v>
      </c>
      <c r="K42" s="54">
        <v>0</v>
      </c>
      <c r="L42" s="54" t="s">
        <v>601</v>
      </c>
    </row>
    <row r="43" spans="1:12">
      <c r="A43" s="54" t="s">
        <v>854</v>
      </c>
      <c r="B43" s="54" t="s">
        <v>856</v>
      </c>
      <c r="C43" s="59">
        <v>3.8896903395652771E-2</v>
      </c>
      <c r="D43" s="60">
        <v>45782.85015046296</v>
      </c>
      <c r="E43" s="60">
        <v>54789.541666666664</v>
      </c>
      <c r="F43" s="54" t="s">
        <v>610</v>
      </c>
      <c r="G43" s="54" t="s">
        <v>1774</v>
      </c>
      <c r="H43" s="54" t="s">
        <v>861</v>
      </c>
      <c r="I43" s="54">
        <v>0</v>
      </c>
      <c r="J43" s="54">
        <v>0</v>
      </c>
      <c r="K43" s="54">
        <v>0</v>
      </c>
      <c r="L43" s="54" t="s">
        <v>601</v>
      </c>
    </row>
    <row r="44" spans="1:12">
      <c r="A44" s="54" t="s">
        <v>863</v>
      </c>
      <c r="B44" s="54" t="s">
        <v>856</v>
      </c>
      <c r="C44" s="59">
        <v>50.015720367431641</v>
      </c>
      <c r="D44" s="60">
        <v>45782.850787037038</v>
      </c>
      <c r="E44" s="60">
        <v>54789.541666666664</v>
      </c>
      <c r="F44" s="54" t="s">
        <v>610</v>
      </c>
      <c r="G44" s="54" t="s">
        <v>1776</v>
      </c>
      <c r="H44" s="54" t="s">
        <v>866</v>
      </c>
      <c r="I44" s="54" t="s">
        <v>867</v>
      </c>
      <c r="J44" s="54">
        <v>0</v>
      </c>
      <c r="K44" s="54">
        <v>0</v>
      </c>
      <c r="L44" s="54" t="s">
        <v>601</v>
      </c>
    </row>
    <row r="45" spans="1:12">
      <c r="A45" s="54" t="s">
        <v>869</v>
      </c>
      <c r="B45" s="54" t="s">
        <v>871</v>
      </c>
      <c r="C45" s="59">
        <v>60.835777282714844</v>
      </c>
      <c r="D45" s="60">
        <v>45782.851377314815</v>
      </c>
      <c r="E45" s="60">
        <v>54789.541666666664</v>
      </c>
      <c r="F45" s="54" t="s">
        <v>610</v>
      </c>
      <c r="G45" s="54" t="s">
        <v>1776</v>
      </c>
      <c r="H45" s="54" t="s">
        <v>875</v>
      </c>
      <c r="I45" s="54" t="s">
        <v>876</v>
      </c>
      <c r="J45" s="54">
        <v>0</v>
      </c>
      <c r="K45" s="54">
        <v>0</v>
      </c>
      <c r="L45" s="54" t="s">
        <v>601</v>
      </c>
    </row>
    <row r="46" spans="1:12">
      <c r="A46" s="54" t="s">
        <v>878</v>
      </c>
      <c r="B46" s="54" t="s">
        <v>871</v>
      </c>
      <c r="C46" s="59">
        <v>194.314697265625</v>
      </c>
      <c r="D46" s="60">
        <v>45782.853564814817</v>
      </c>
      <c r="E46" s="60">
        <v>54789.541666666664</v>
      </c>
      <c r="F46" s="54" t="s">
        <v>610</v>
      </c>
      <c r="G46" s="54" t="s">
        <v>1776</v>
      </c>
      <c r="H46" s="54" t="s">
        <v>885</v>
      </c>
      <c r="I46" s="54" t="s">
        <v>886</v>
      </c>
      <c r="J46" s="54">
        <v>0</v>
      </c>
      <c r="K46" s="54">
        <v>0</v>
      </c>
      <c r="L46" s="54" t="s">
        <v>601</v>
      </c>
    </row>
    <row r="47" spans="1:12">
      <c r="A47" s="54" t="s">
        <v>888</v>
      </c>
      <c r="B47" s="54" t="s">
        <v>890</v>
      </c>
      <c r="C47" s="59">
        <v>351607.65625</v>
      </c>
      <c r="D47" s="60">
        <v>45723.43476851852</v>
      </c>
      <c r="E47" s="60">
        <v>54789.541666666664</v>
      </c>
      <c r="F47" s="54" t="s">
        <v>610</v>
      </c>
      <c r="G47" s="54" t="s">
        <v>1774</v>
      </c>
      <c r="H47" s="54" t="s">
        <v>893</v>
      </c>
      <c r="I47" s="54" t="s">
        <v>894</v>
      </c>
      <c r="J47" s="54">
        <v>0</v>
      </c>
      <c r="K47" s="54" t="s">
        <v>895</v>
      </c>
      <c r="L47" s="54" t="s">
        <v>601</v>
      </c>
    </row>
    <row r="48" spans="1:12">
      <c r="A48" s="54" t="s">
        <v>900</v>
      </c>
      <c r="B48" s="54" t="s">
        <v>902</v>
      </c>
      <c r="C48" s="59">
        <v>271311.46875</v>
      </c>
      <c r="D48" s="60">
        <v>45711.901469907411</v>
      </c>
      <c r="E48" s="60">
        <v>54789.541666666664</v>
      </c>
      <c r="F48" s="54" t="s">
        <v>610</v>
      </c>
      <c r="G48" s="54" t="s">
        <v>1774</v>
      </c>
      <c r="H48" s="54" t="s">
        <v>908</v>
      </c>
      <c r="I48" s="54" t="s">
        <v>909</v>
      </c>
      <c r="J48" s="54">
        <v>0</v>
      </c>
      <c r="K48" s="54" t="s">
        <v>910</v>
      </c>
      <c r="L48" s="54" t="s">
        <v>601</v>
      </c>
    </row>
    <row r="49" spans="1:12">
      <c r="A49" s="54" t="s">
        <v>912</v>
      </c>
      <c r="B49" s="54" t="s">
        <v>890</v>
      </c>
      <c r="C49" s="59">
        <v>273285.25</v>
      </c>
      <c r="D49" s="60">
        <v>45734.599444444444</v>
      </c>
      <c r="E49" s="60">
        <v>54789.541666666664</v>
      </c>
      <c r="F49" s="54" t="s">
        <v>610</v>
      </c>
      <c r="G49" s="54" t="s">
        <v>1778</v>
      </c>
      <c r="H49" s="54" t="s">
        <v>919</v>
      </c>
      <c r="I49" s="54" t="s">
        <v>920</v>
      </c>
      <c r="J49" s="54">
        <v>0</v>
      </c>
      <c r="K49" s="54" t="s">
        <v>921</v>
      </c>
      <c r="L49" s="54" t="s">
        <v>601</v>
      </c>
    </row>
    <row r="50" spans="1:12">
      <c r="A50" s="54" t="s">
        <v>927</v>
      </c>
      <c r="B50" s="54" t="s">
        <v>902</v>
      </c>
      <c r="C50" s="59">
        <v>291364</v>
      </c>
      <c r="D50" s="60">
        <v>45724.660324074073</v>
      </c>
      <c r="E50" s="60">
        <v>54789.541666666664</v>
      </c>
      <c r="F50" s="54" t="s">
        <v>610</v>
      </c>
      <c r="G50" s="54" t="s">
        <v>1778</v>
      </c>
      <c r="H50" s="54" t="s">
        <v>932</v>
      </c>
      <c r="I50" s="54" t="s">
        <v>933</v>
      </c>
      <c r="J50" s="54">
        <v>0</v>
      </c>
      <c r="K50" s="54" t="s">
        <v>934</v>
      </c>
      <c r="L50" s="54" t="s">
        <v>601</v>
      </c>
    </row>
    <row r="51" spans="1:12">
      <c r="A51" s="54" t="s">
        <v>938</v>
      </c>
      <c r="B51" s="54" t="s">
        <v>890</v>
      </c>
      <c r="C51" s="59">
        <v>320214.78125</v>
      </c>
      <c r="D51" s="60">
        <v>45782.944710648146</v>
      </c>
      <c r="E51" s="60">
        <v>54789.541666666664</v>
      </c>
      <c r="F51" s="54" t="s">
        <v>610</v>
      </c>
      <c r="G51" s="54" t="s">
        <v>1779</v>
      </c>
      <c r="H51" s="54" t="s">
        <v>942</v>
      </c>
      <c r="I51" s="54" t="s">
        <v>943</v>
      </c>
      <c r="J51" s="54">
        <v>0</v>
      </c>
      <c r="K51" s="54" t="s">
        <v>944</v>
      </c>
      <c r="L51" s="54" t="s">
        <v>601</v>
      </c>
    </row>
    <row r="52" spans="1:12">
      <c r="A52" s="54" t="s">
        <v>946</v>
      </c>
      <c r="B52" s="54" t="s">
        <v>948</v>
      </c>
      <c r="C52" s="59">
        <v>324297.03125</v>
      </c>
      <c r="D52" s="60">
        <v>45724.487997685188</v>
      </c>
      <c r="E52" s="60">
        <v>54789.541666666664</v>
      </c>
      <c r="F52" s="54" t="s">
        <v>610</v>
      </c>
      <c r="G52" s="54" t="s">
        <v>1780</v>
      </c>
      <c r="H52" s="54" t="s">
        <v>955</v>
      </c>
      <c r="I52" s="54" t="s">
        <v>956</v>
      </c>
      <c r="J52" s="54">
        <v>0</v>
      </c>
      <c r="K52" s="54" t="s">
        <v>957</v>
      </c>
      <c r="L52" s="54" t="s">
        <v>601</v>
      </c>
    </row>
    <row r="53" spans="1:12">
      <c r="A53" s="54" t="s">
        <v>959</v>
      </c>
      <c r="B53" s="54" t="s">
        <v>890</v>
      </c>
      <c r="C53" s="59">
        <v>390382.40625</v>
      </c>
      <c r="D53" s="60">
        <v>45724.482407407406</v>
      </c>
      <c r="E53" s="60">
        <v>54789.541666666664</v>
      </c>
      <c r="F53" s="54" t="s">
        <v>610</v>
      </c>
      <c r="G53" s="54" t="s">
        <v>1774</v>
      </c>
      <c r="H53" s="54" t="s">
        <v>961</v>
      </c>
      <c r="I53" s="54" t="s">
        <v>962</v>
      </c>
      <c r="J53" s="54">
        <v>0</v>
      </c>
      <c r="K53" s="54">
        <v>0</v>
      </c>
      <c r="L53" s="54" t="s">
        <v>601</v>
      </c>
    </row>
    <row r="54" spans="1:12">
      <c r="A54" s="54" t="s">
        <v>964</v>
      </c>
      <c r="B54" s="54" t="s">
        <v>902</v>
      </c>
      <c r="C54" s="59">
        <v>283860</v>
      </c>
      <c r="D54" s="60">
        <v>45782.945393518516</v>
      </c>
      <c r="E54" s="60">
        <v>54789.541666666664</v>
      </c>
      <c r="F54" s="54" t="s">
        <v>610</v>
      </c>
      <c r="G54" s="54" t="s">
        <v>1778</v>
      </c>
      <c r="H54" s="54" t="s">
        <v>970</v>
      </c>
      <c r="I54" s="54" t="s">
        <v>971</v>
      </c>
      <c r="J54" s="54">
        <v>0</v>
      </c>
      <c r="K54" s="54" t="s">
        <v>972</v>
      </c>
      <c r="L54" s="54" t="s">
        <v>601</v>
      </c>
    </row>
    <row r="55" spans="1:12">
      <c r="A55" s="54" t="s">
        <v>976</v>
      </c>
      <c r="B55" s="54" t="s">
        <v>902</v>
      </c>
      <c r="C55" s="59">
        <v>203129.359375</v>
      </c>
      <c r="D55" s="60">
        <v>45724.473379629628</v>
      </c>
      <c r="E55" s="60">
        <v>54789.541666666664</v>
      </c>
      <c r="F55" s="54" t="s">
        <v>610</v>
      </c>
      <c r="G55" s="54" t="s">
        <v>1778</v>
      </c>
      <c r="H55" s="54" t="s">
        <v>979</v>
      </c>
      <c r="I55" s="54" t="s">
        <v>980</v>
      </c>
      <c r="J55" s="54">
        <v>0</v>
      </c>
      <c r="K55" s="54" t="s">
        <v>981</v>
      </c>
      <c r="L55" s="54" t="s">
        <v>601</v>
      </c>
    </row>
    <row r="56" spans="1:12">
      <c r="A56" s="54" t="s">
        <v>983</v>
      </c>
      <c r="B56" s="54" t="s">
        <v>902</v>
      </c>
      <c r="C56" s="59">
        <v>200641</v>
      </c>
      <c r="D56" s="60">
        <v>45711.899930555555</v>
      </c>
      <c r="E56" s="60">
        <v>54789.541666666664</v>
      </c>
      <c r="F56" s="54" t="s">
        <v>610</v>
      </c>
      <c r="G56" s="54" t="s">
        <v>1780</v>
      </c>
      <c r="H56" s="54" t="s">
        <v>986</v>
      </c>
      <c r="I56" s="54" t="s">
        <v>987</v>
      </c>
      <c r="J56" s="54">
        <v>0</v>
      </c>
      <c r="K56" s="54" t="s">
        <v>988</v>
      </c>
      <c r="L56" s="54" t="s">
        <v>601</v>
      </c>
    </row>
    <row r="57" spans="1:12">
      <c r="A57" s="54" t="s">
        <v>989</v>
      </c>
      <c r="B57" s="54" t="s">
        <v>902</v>
      </c>
      <c r="C57" s="59">
        <v>245581</v>
      </c>
      <c r="D57" s="60">
        <v>45782.945879629631</v>
      </c>
      <c r="E57" s="60">
        <v>54789.541666666664</v>
      </c>
      <c r="F57" s="54" t="s">
        <v>610</v>
      </c>
      <c r="G57" s="54" t="s">
        <v>1778</v>
      </c>
      <c r="H57" s="54" t="s">
        <v>995</v>
      </c>
      <c r="I57" s="54" t="s">
        <v>996</v>
      </c>
      <c r="J57" s="54">
        <v>0</v>
      </c>
      <c r="K57" s="54" t="s">
        <v>997</v>
      </c>
      <c r="L57" s="54" t="s">
        <v>601</v>
      </c>
    </row>
    <row r="58" spans="1:12">
      <c r="A58" s="54" t="s">
        <v>999</v>
      </c>
      <c r="B58" s="54" t="s">
        <v>1001</v>
      </c>
      <c r="C58" s="59">
        <v>234892</v>
      </c>
      <c r="D58" s="60">
        <v>45711.897499999999</v>
      </c>
      <c r="E58" s="60">
        <v>54789.541666666664</v>
      </c>
      <c r="F58" s="54" t="s">
        <v>610</v>
      </c>
      <c r="G58" s="54" t="s">
        <v>1778</v>
      </c>
      <c r="H58" s="54" t="s">
        <v>1008</v>
      </c>
      <c r="I58" s="54" t="s">
        <v>1009</v>
      </c>
      <c r="J58" s="54">
        <v>0</v>
      </c>
      <c r="K58" s="54" t="s">
        <v>1010</v>
      </c>
      <c r="L58" s="54" t="s">
        <v>601</v>
      </c>
    </row>
    <row r="59" spans="1:12">
      <c r="A59" s="54" t="s">
        <v>1012</v>
      </c>
      <c r="B59" s="54" t="s">
        <v>890</v>
      </c>
      <c r="C59" s="59">
        <v>232234.21875</v>
      </c>
      <c r="D59" s="60">
        <v>45724.468969907408</v>
      </c>
      <c r="E59" s="60">
        <v>54789.541666666664</v>
      </c>
      <c r="F59" s="54" t="s">
        <v>610</v>
      </c>
      <c r="G59" s="54" t="s">
        <v>1774</v>
      </c>
      <c r="H59" s="54" t="s">
        <v>1018</v>
      </c>
      <c r="I59" s="54" t="s">
        <v>1019</v>
      </c>
      <c r="J59" s="54">
        <v>0</v>
      </c>
      <c r="K59" s="54">
        <v>0</v>
      </c>
      <c r="L59" s="54" t="s">
        <v>601</v>
      </c>
    </row>
    <row r="60" spans="1:12">
      <c r="A60" s="54" t="s">
        <v>1020</v>
      </c>
      <c r="B60" s="54" t="s">
        <v>902</v>
      </c>
      <c r="C60" s="59">
        <v>214811</v>
      </c>
      <c r="D60" s="60">
        <v>45730.516608796293</v>
      </c>
      <c r="E60" s="60">
        <v>54789.541666666664</v>
      </c>
      <c r="F60" s="54" t="s">
        <v>610</v>
      </c>
      <c r="G60" s="54" t="s">
        <v>1779</v>
      </c>
      <c r="H60" s="54" t="s">
        <v>1023</v>
      </c>
      <c r="I60" s="54" t="s">
        <v>1024</v>
      </c>
      <c r="J60" s="54">
        <v>0</v>
      </c>
      <c r="K60" s="54" t="s">
        <v>1025</v>
      </c>
      <c r="L60" s="54" t="s">
        <v>601</v>
      </c>
    </row>
    <row r="61" spans="1:12">
      <c r="A61" s="54" t="s">
        <v>1027</v>
      </c>
      <c r="B61" s="54" t="s">
        <v>902</v>
      </c>
      <c r="C61" s="59">
        <v>241564</v>
      </c>
      <c r="D61" s="60">
        <v>45711.908680555556</v>
      </c>
      <c r="E61" s="60">
        <v>54789.541666666664</v>
      </c>
      <c r="F61" s="54" t="s">
        <v>610</v>
      </c>
      <c r="G61" s="54" t="s">
        <v>1774</v>
      </c>
      <c r="H61" s="54" t="s">
        <v>1030</v>
      </c>
      <c r="I61" s="54" t="s">
        <v>1031</v>
      </c>
      <c r="J61" s="54">
        <v>0</v>
      </c>
      <c r="K61" s="54" t="s">
        <v>1032</v>
      </c>
      <c r="L61" s="54" t="s">
        <v>601</v>
      </c>
    </row>
    <row r="62" spans="1:12">
      <c r="A62" s="54" t="s">
        <v>1033</v>
      </c>
      <c r="B62" s="54" t="s">
        <v>902</v>
      </c>
      <c r="C62" s="59">
        <v>342511</v>
      </c>
      <c r="D62" s="60">
        <v>45807.114976851852</v>
      </c>
      <c r="E62" s="60">
        <v>54789.541666666664</v>
      </c>
      <c r="F62" s="54" t="s">
        <v>610</v>
      </c>
      <c r="G62" s="54" t="s">
        <v>1781</v>
      </c>
      <c r="H62" s="54" t="s">
        <v>1039</v>
      </c>
      <c r="I62" s="54" t="s">
        <v>1040</v>
      </c>
      <c r="J62" s="54">
        <v>0</v>
      </c>
      <c r="K62" s="54" t="s">
        <v>1041</v>
      </c>
      <c r="L62" s="54" t="s">
        <v>601</v>
      </c>
    </row>
    <row r="63" spans="1:12">
      <c r="A63" s="54" t="s">
        <v>1044</v>
      </c>
      <c r="B63" s="54" t="s">
        <v>902</v>
      </c>
      <c r="C63" s="59">
        <v>260095</v>
      </c>
      <c r="D63" s="60">
        <v>45721.965069444443</v>
      </c>
      <c r="E63" s="60">
        <v>54789.541666666664</v>
      </c>
      <c r="F63" s="54" t="s">
        <v>610</v>
      </c>
      <c r="G63" s="54" t="s">
        <v>1774</v>
      </c>
      <c r="H63" s="54" t="s">
        <v>1050</v>
      </c>
      <c r="I63" s="54" t="s">
        <v>1051</v>
      </c>
      <c r="J63" s="54">
        <v>0</v>
      </c>
      <c r="K63" s="54" t="s">
        <v>1052</v>
      </c>
      <c r="L63" s="54" t="s">
        <v>601</v>
      </c>
    </row>
    <row r="64" spans="1:12">
      <c r="A64" s="54" t="s">
        <v>1057</v>
      </c>
      <c r="B64" s="54" t="s">
        <v>902</v>
      </c>
      <c r="C64" s="59">
        <v>307523.03125</v>
      </c>
      <c r="D64" s="60">
        <v>45711.906944444447</v>
      </c>
      <c r="E64" s="60">
        <v>54789.541666666664</v>
      </c>
      <c r="F64" s="54" t="s">
        <v>610</v>
      </c>
      <c r="G64" s="54" t="s">
        <v>1778</v>
      </c>
      <c r="H64" s="54" t="s">
        <v>1062</v>
      </c>
      <c r="I64" s="54" t="s">
        <v>1063</v>
      </c>
      <c r="J64" s="54">
        <v>0</v>
      </c>
      <c r="K64" s="54" t="s">
        <v>1064</v>
      </c>
      <c r="L64" s="54" t="s">
        <v>601</v>
      </c>
    </row>
    <row r="65" spans="1:12">
      <c r="A65" s="54" t="s">
        <v>1066</v>
      </c>
      <c r="B65" s="54" t="s">
        <v>902</v>
      </c>
      <c r="C65" s="59">
        <v>216087</v>
      </c>
      <c r="D65" s="60">
        <v>45782.946400462963</v>
      </c>
      <c r="E65" s="60">
        <v>54789.541666666664</v>
      </c>
      <c r="F65" s="54" t="s">
        <v>610</v>
      </c>
      <c r="G65" s="54" t="s">
        <v>1778</v>
      </c>
      <c r="H65" s="54" t="s">
        <v>1070</v>
      </c>
      <c r="I65" s="54" t="s">
        <v>1071</v>
      </c>
      <c r="J65" s="54">
        <v>0</v>
      </c>
      <c r="K65" s="54" t="s">
        <v>1072</v>
      </c>
      <c r="L65" s="54" t="s">
        <v>601</v>
      </c>
    </row>
    <row r="66" spans="1:12">
      <c r="A66" s="54" t="s">
        <v>1074</v>
      </c>
      <c r="B66" s="54" t="s">
        <v>902</v>
      </c>
      <c r="C66" s="59">
        <v>313710</v>
      </c>
      <c r="D66" s="60">
        <v>45724.467326388891</v>
      </c>
      <c r="E66" s="60">
        <v>54789.541666666664</v>
      </c>
      <c r="F66" s="54" t="s">
        <v>610</v>
      </c>
      <c r="G66" s="54" t="s">
        <v>1774</v>
      </c>
      <c r="H66" s="54" t="s">
        <v>1076</v>
      </c>
      <c r="I66" s="54" t="s">
        <v>1077</v>
      </c>
      <c r="J66" s="54">
        <v>0</v>
      </c>
      <c r="K66" s="54" t="s">
        <v>1078</v>
      </c>
      <c r="L66" s="54" t="s">
        <v>601</v>
      </c>
    </row>
    <row r="67" spans="1:12">
      <c r="A67" s="54" t="s">
        <v>1080</v>
      </c>
      <c r="B67" s="54" t="s">
        <v>902</v>
      </c>
      <c r="C67" s="59">
        <v>191253</v>
      </c>
      <c r="D67" s="60">
        <v>45724.486284722225</v>
      </c>
      <c r="E67" s="60">
        <v>54789.541666666664</v>
      </c>
      <c r="F67" s="54" t="s">
        <v>610</v>
      </c>
      <c r="G67" s="54" t="s">
        <v>1774</v>
      </c>
      <c r="H67" s="54" t="s">
        <v>1083</v>
      </c>
      <c r="I67" s="54" t="s">
        <v>1084</v>
      </c>
      <c r="J67" s="54">
        <v>0</v>
      </c>
      <c r="K67" s="54" t="s">
        <v>1085</v>
      </c>
      <c r="L67" s="54" t="s">
        <v>601</v>
      </c>
    </row>
    <row r="68" spans="1:12">
      <c r="A68" s="54" t="s">
        <v>1087</v>
      </c>
      <c r="B68" s="54" t="s">
        <v>1089</v>
      </c>
      <c r="C68" s="59">
        <v>222856</v>
      </c>
      <c r="D68" s="60">
        <v>45734.562141203707</v>
      </c>
      <c r="E68" s="60">
        <v>54789.541666666664</v>
      </c>
      <c r="F68" s="54" t="s">
        <v>610</v>
      </c>
      <c r="G68" s="54" t="s">
        <v>1782</v>
      </c>
      <c r="H68" s="54" t="s">
        <v>1094</v>
      </c>
      <c r="I68" s="54" t="s">
        <v>1095</v>
      </c>
      <c r="J68" s="54">
        <v>0</v>
      </c>
      <c r="K68" s="54" t="s">
        <v>1096</v>
      </c>
      <c r="L68" s="54" t="s">
        <v>601</v>
      </c>
    </row>
    <row r="69" spans="1:12">
      <c r="A69" s="54" t="s">
        <v>1098</v>
      </c>
      <c r="B69" s="54" t="s">
        <v>902</v>
      </c>
      <c r="C69" s="59">
        <v>226992</v>
      </c>
      <c r="D69" s="60">
        <v>45782.947094907409</v>
      </c>
      <c r="E69" s="60">
        <v>54789.541666666664</v>
      </c>
      <c r="F69" s="54" t="s">
        <v>610</v>
      </c>
      <c r="G69" s="54" t="s">
        <v>1778</v>
      </c>
      <c r="H69" s="54" t="s">
        <v>1104</v>
      </c>
      <c r="I69" s="54" t="s">
        <v>1105</v>
      </c>
      <c r="J69" s="54">
        <v>0</v>
      </c>
      <c r="K69" s="54" t="s">
        <v>1106</v>
      </c>
      <c r="L69" s="54" t="s">
        <v>601</v>
      </c>
    </row>
    <row r="70" spans="1:12">
      <c r="A70" s="54" t="s">
        <v>1109</v>
      </c>
      <c r="B70" s="54" t="s">
        <v>890</v>
      </c>
      <c r="C70" s="59">
        <v>227499.015625</v>
      </c>
      <c r="D70" s="60">
        <v>45724.485532407409</v>
      </c>
      <c r="E70" s="60">
        <v>54789.541666666664</v>
      </c>
      <c r="F70" s="54" t="s">
        <v>610</v>
      </c>
      <c r="G70" s="54" t="s">
        <v>1774</v>
      </c>
      <c r="H70" s="54" t="s">
        <v>1112</v>
      </c>
      <c r="I70" s="54" t="s">
        <v>1113</v>
      </c>
      <c r="J70" s="54">
        <v>0</v>
      </c>
      <c r="K70" s="54">
        <v>0</v>
      </c>
      <c r="L70" s="54" t="s">
        <v>601</v>
      </c>
    </row>
    <row r="71" spans="1:12">
      <c r="A71" s="54" t="s">
        <v>1115</v>
      </c>
      <c r="B71" s="54" t="s">
        <v>902</v>
      </c>
      <c r="C71" s="59">
        <v>307822.78125</v>
      </c>
      <c r="D71" s="60">
        <v>45807.562881944446</v>
      </c>
      <c r="E71" s="60">
        <v>54789.541666666664</v>
      </c>
      <c r="F71" s="54" t="s">
        <v>610</v>
      </c>
      <c r="G71" s="54" t="s">
        <v>1778</v>
      </c>
      <c r="H71" s="54" t="s">
        <v>1121</v>
      </c>
      <c r="I71" s="54" t="s">
        <v>1122</v>
      </c>
      <c r="J71" s="54">
        <v>0</v>
      </c>
      <c r="K71" s="54" t="s">
        <v>1123</v>
      </c>
      <c r="L71" s="54" t="s">
        <v>601</v>
      </c>
    </row>
    <row r="72" spans="1:12">
      <c r="A72" s="54" t="s">
        <v>1126</v>
      </c>
      <c r="B72" s="54" t="s">
        <v>1128</v>
      </c>
      <c r="C72" s="59">
        <v>135374</v>
      </c>
      <c r="D72" s="60">
        <v>45782.947581018518</v>
      </c>
      <c r="E72" s="60">
        <v>54789.541666666664</v>
      </c>
      <c r="F72" s="54" t="s">
        <v>610</v>
      </c>
      <c r="G72" s="54" t="s">
        <v>1774</v>
      </c>
      <c r="H72" s="54" t="s">
        <v>1135</v>
      </c>
      <c r="I72" s="54" t="s">
        <v>1136</v>
      </c>
      <c r="J72" s="54">
        <v>0</v>
      </c>
      <c r="K72" s="54" t="s">
        <v>1137</v>
      </c>
      <c r="L72" s="54" t="s">
        <v>601</v>
      </c>
    </row>
    <row r="73" spans="1:12">
      <c r="A73" s="54" t="s">
        <v>1140</v>
      </c>
      <c r="B73" s="54" t="s">
        <v>1142</v>
      </c>
      <c r="C73" s="59">
        <v>139270</v>
      </c>
      <c r="D73" s="60">
        <v>45782.94803240741</v>
      </c>
      <c r="E73" s="60">
        <v>54789.541666666664</v>
      </c>
      <c r="F73" s="54" t="s">
        <v>610</v>
      </c>
      <c r="G73" s="54" t="s">
        <v>1774</v>
      </c>
      <c r="H73" s="54" t="s">
        <v>1149</v>
      </c>
      <c r="I73" s="54" t="s">
        <v>1150</v>
      </c>
      <c r="J73" s="54">
        <v>0</v>
      </c>
      <c r="K73" s="54" t="s">
        <v>1151</v>
      </c>
      <c r="L73" s="54" t="s">
        <v>601</v>
      </c>
    </row>
    <row r="74" spans="1:12">
      <c r="A74" s="54" t="s">
        <v>1153</v>
      </c>
      <c r="B74" s="54" t="s">
        <v>902</v>
      </c>
      <c r="C74" s="59">
        <v>210375</v>
      </c>
      <c r="D74" s="60">
        <v>45782.948483796295</v>
      </c>
      <c r="E74" s="60">
        <v>54789.541666666664</v>
      </c>
      <c r="F74" s="54" t="s">
        <v>610</v>
      </c>
      <c r="G74" s="54" t="s">
        <v>1778</v>
      </c>
      <c r="H74" s="54" t="s">
        <v>1158</v>
      </c>
      <c r="I74" s="54" t="s">
        <v>1159</v>
      </c>
      <c r="J74" s="54">
        <v>0</v>
      </c>
      <c r="K74" s="54" t="s">
        <v>1160</v>
      </c>
      <c r="L74" s="54" t="s">
        <v>601</v>
      </c>
    </row>
    <row r="75" spans="1:12">
      <c r="A75" s="54" t="s">
        <v>1161</v>
      </c>
      <c r="B75" s="54" t="s">
        <v>902</v>
      </c>
      <c r="C75" s="59">
        <v>224995</v>
      </c>
      <c r="D75" s="60">
        <v>45782.949513888889</v>
      </c>
      <c r="E75" s="60">
        <v>54789.541666666664</v>
      </c>
      <c r="F75" s="54" t="s">
        <v>610</v>
      </c>
      <c r="G75" s="54" t="s">
        <v>1778</v>
      </c>
      <c r="H75" s="54" t="s">
        <v>1167</v>
      </c>
      <c r="I75" s="54" t="s">
        <v>1168</v>
      </c>
      <c r="J75" s="54">
        <v>0</v>
      </c>
      <c r="K75" s="54" t="s">
        <v>1169</v>
      </c>
      <c r="L75" s="54" t="s">
        <v>601</v>
      </c>
    </row>
    <row r="76" spans="1:12">
      <c r="A76" s="54" t="s">
        <v>1171</v>
      </c>
      <c r="B76" s="54" t="s">
        <v>1142</v>
      </c>
      <c r="C76" s="59">
        <v>169380</v>
      </c>
      <c r="D76" s="60">
        <v>45782.950104166666</v>
      </c>
      <c r="E76" s="60">
        <v>54789.541666666664</v>
      </c>
      <c r="F76" s="54" t="s">
        <v>610</v>
      </c>
      <c r="G76" s="54" t="s">
        <v>1774</v>
      </c>
      <c r="H76" s="54" t="s">
        <v>1177</v>
      </c>
      <c r="I76" s="54" t="s">
        <v>1178</v>
      </c>
      <c r="J76" s="54">
        <v>0</v>
      </c>
      <c r="K76" s="54" t="s">
        <v>1179</v>
      </c>
      <c r="L76" s="54" t="s">
        <v>601</v>
      </c>
    </row>
    <row r="77" spans="1:12">
      <c r="A77" s="54" t="s">
        <v>1180</v>
      </c>
      <c r="B77" s="54" t="s">
        <v>902</v>
      </c>
      <c r="C77" s="59">
        <v>151222</v>
      </c>
      <c r="D77" s="60">
        <v>45711.908194444448</v>
      </c>
      <c r="E77" s="60">
        <v>54789.541666666664</v>
      </c>
      <c r="F77" s="54" t="s">
        <v>610</v>
      </c>
      <c r="G77" s="54" t="s">
        <v>1774</v>
      </c>
      <c r="H77" s="54" t="s">
        <v>1186</v>
      </c>
      <c r="I77" s="54" t="s">
        <v>1187</v>
      </c>
      <c r="J77" s="54">
        <v>0</v>
      </c>
      <c r="K77" s="54" t="s">
        <v>1188</v>
      </c>
      <c r="L77" s="54" t="s">
        <v>601</v>
      </c>
    </row>
    <row r="78" spans="1:12">
      <c r="A78" s="54" t="s">
        <v>1190</v>
      </c>
      <c r="B78" s="54" t="s">
        <v>1089</v>
      </c>
      <c r="C78" s="59">
        <v>143570</v>
      </c>
      <c r="D78" s="60">
        <v>45782.950752314813</v>
      </c>
      <c r="E78" s="60">
        <v>54789.541666666664</v>
      </c>
      <c r="F78" s="54" t="s">
        <v>610</v>
      </c>
      <c r="G78" s="54" t="s">
        <v>1778</v>
      </c>
      <c r="H78" s="54" t="s">
        <v>1195</v>
      </c>
      <c r="I78" s="54" t="s">
        <v>1196</v>
      </c>
      <c r="J78" s="54">
        <v>0</v>
      </c>
      <c r="K78" s="54" t="s">
        <v>1197</v>
      </c>
      <c r="L78" s="54" t="s">
        <v>601</v>
      </c>
    </row>
    <row r="79" spans="1:12">
      <c r="A79" s="54" t="s">
        <v>1199</v>
      </c>
      <c r="B79" s="54" t="s">
        <v>1201</v>
      </c>
      <c r="C79" s="59">
        <v>102142</v>
      </c>
      <c r="D79" s="60">
        <v>45711.89943287037</v>
      </c>
      <c r="E79" s="60">
        <v>54789.541666666664</v>
      </c>
      <c r="F79" s="54" t="s">
        <v>610</v>
      </c>
      <c r="G79" s="54" t="s">
        <v>1774</v>
      </c>
      <c r="H79" s="54" t="s">
        <v>1208</v>
      </c>
      <c r="I79" s="54" t="s">
        <v>1209</v>
      </c>
      <c r="J79" s="54">
        <v>0</v>
      </c>
      <c r="K79" s="54" t="s">
        <v>1210</v>
      </c>
      <c r="L79" s="54" t="s">
        <v>601</v>
      </c>
    </row>
    <row r="80" spans="1:12">
      <c r="A80" s="54" t="s">
        <v>1214</v>
      </c>
      <c r="B80" s="54" t="s">
        <v>1128</v>
      </c>
      <c r="C80" s="59">
        <v>99256.8984375</v>
      </c>
      <c r="D80" s="60">
        <v>45712.513067129628</v>
      </c>
      <c r="E80" s="60">
        <v>54789.541666666664</v>
      </c>
      <c r="F80" s="54" t="s">
        <v>610</v>
      </c>
      <c r="G80" s="54" t="s">
        <v>1774</v>
      </c>
      <c r="H80" s="54" t="s">
        <v>1220</v>
      </c>
      <c r="I80" s="54" t="s">
        <v>1221</v>
      </c>
      <c r="J80" s="54">
        <v>0</v>
      </c>
      <c r="K80" s="54" t="s">
        <v>1222</v>
      </c>
      <c r="L80" s="54" t="s">
        <v>601</v>
      </c>
    </row>
    <row r="81" spans="1:12">
      <c r="A81" s="54" t="s">
        <v>1225</v>
      </c>
      <c r="B81" s="54" t="s">
        <v>1128</v>
      </c>
      <c r="C81" s="59">
        <v>108708.203125</v>
      </c>
      <c r="D81" s="60">
        <v>45711.909270833334</v>
      </c>
      <c r="E81" s="60">
        <v>54789.541666666664</v>
      </c>
      <c r="F81" s="54" t="s">
        <v>610</v>
      </c>
      <c r="G81" s="54" t="s">
        <v>1780</v>
      </c>
      <c r="H81" s="54" t="s">
        <v>1231</v>
      </c>
      <c r="I81" s="54" t="s">
        <v>1232</v>
      </c>
      <c r="J81" s="54">
        <v>0</v>
      </c>
      <c r="K81" s="54" t="s">
        <v>1233</v>
      </c>
      <c r="L81" s="54" t="s">
        <v>601</v>
      </c>
    </row>
    <row r="82" spans="1:12">
      <c r="A82" s="54" t="s">
        <v>1234</v>
      </c>
      <c r="B82" s="54" t="s">
        <v>1128</v>
      </c>
      <c r="C82" s="59">
        <v>141324.59375</v>
      </c>
      <c r="D82" s="60">
        <v>45693.651979166665</v>
      </c>
      <c r="E82" s="60">
        <v>54789.541666666664</v>
      </c>
      <c r="F82" s="54" t="s">
        <v>610</v>
      </c>
      <c r="G82" s="54" t="s">
        <v>1780</v>
      </c>
      <c r="H82" s="54" t="s">
        <v>1240</v>
      </c>
      <c r="I82" s="54" t="s">
        <v>1241</v>
      </c>
      <c r="J82" s="54">
        <v>0</v>
      </c>
      <c r="K82" s="54" t="s">
        <v>1242</v>
      </c>
      <c r="L82" s="54" t="s">
        <v>601</v>
      </c>
    </row>
    <row r="83" spans="1:12">
      <c r="A83" s="54" t="s">
        <v>1243</v>
      </c>
      <c r="B83" s="54" t="s">
        <v>1245</v>
      </c>
      <c r="C83" s="59">
        <v>120308</v>
      </c>
      <c r="D83" s="60">
        <v>45805.519467592596</v>
      </c>
      <c r="E83" s="60">
        <v>54789.541666666664</v>
      </c>
      <c r="F83" s="54" t="s">
        <v>638</v>
      </c>
      <c r="G83" s="54" t="s">
        <v>1775</v>
      </c>
      <c r="H83" s="54">
        <v>0</v>
      </c>
      <c r="I83" s="54" t="s">
        <v>1248</v>
      </c>
      <c r="J83" s="54">
        <v>0</v>
      </c>
      <c r="K83" s="54" t="s">
        <v>1249</v>
      </c>
      <c r="L83" s="54" t="s">
        <v>615</v>
      </c>
    </row>
    <row r="84" spans="1:12">
      <c r="A84" s="54" t="s">
        <v>1251</v>
      </c>
      <c r="B84" s="54" t="s">
        <v>1253</v>
      </c>
      <c r="C84" s="59">
        <v>153736.59375</v>
      </c>
      <c r="D84" s="60">
        <v>45712.512106481481</v>
      </c>
      <c r="E84" s="60">
        <v>54789.541666666664</v>
      </c>
      <c r="F84" s="54" t="s">
        <v>610</v>
      </c>
      <c r="G84" s="54" t="s">
        <v>1774</v>
      </c>
      <c r="H84" s="54" t="s">
        <v>1259</v>
      </c>
      <c r="I84" s="54" t="s">
        <v>1260</v>
      </c>
      <c r="J84" s="54">
        <v>0</v>
      </c>
      <c r="K84" s="54" t="s">
        <v>1261</v>
      </c>
      <c r="L84" s="54" t="s">
        <v>601</v>
      </c>
    </row>
    <row r="85" spans="1:12">
      <c r="A85" s="54" t="s">
        <v>1263</v>
      </c>
      <c r="B85" s="54" t="s">
        <v>1142</v>
      </c>
      <c r="C85" s="59">
        <v>96140.203125</v>
      </c>
      <c r="D85" s="60">
        <v>45782.951226851852</v>
      </c>
      <c r="E85" s="60">
        <v>54789.541666666664</v>
      </c>
      <c r="F85" s="54" t="s">
        <v>610</v>
      </c>
      <c r="G85" s="54" t="s">
        <v>1778</v>
      </c>
      <c r="H85" s="54" t="s">
        <v>1268</v>
      </c>
      <c r="I85" s="54" t="s">
        <v>1269</v>
      </c>
      <c r="J85" s="54">
        <v>0</v>
      </c>
      <c r="K85" s="54" t="s">
        <v>1270</v>
      </c>
      <c r="L85" s="54" t="s">
        <v>601</v>
      </c>
    </row>
    <row r="86" spans="1:12">
      <c r="A86" s="54" t="s">
        <v>1271</v>
      </c>
      <c r="B86" s="54" t="s">
        <v>1142</v>
      </c>
      <c r="C86" s="59">
        <v>95485.5</v>
      </c>
      <c r="D86" s="60">
        <v>45711.904814814814</v>
      </c>
      <c r="E86" s="60">
        <v>54789.541666666664</v>
      </c>
      <c r="F86" s="54" t="s">
        <v>610</v>
      </c>
      <c r="G86" s="54" t="s">
        <v>1774</v>
      </c>
      <c r="H86" s="54" t="s">
        <v>1277</v>
      </c>
      <c r="I86" s="54" t="s">
        <v>1278</v>
      </c>
      <c r="J86" s="54">
        <v>0</v>
      </c>
      <c r="K86" s="54" t="s">
        <v>1279</v>
      </c>
      <c r="L86" s="54" t="s">
        <v>601</v>
      </c>
    </row>
    <row r="87" spans="1:12">
      <c r="A87" s="54" t="s">
        <v>1280</v>
      </c>
      <c r="B87" s="54" t="s">
        <v>902</v>
      </c>
      <c r="C87" s="59">
        <v>96237.296875</v>
      </c>
      <c r="D87" s="60">
        <v>45721.967928240738</v>
      </c>
      <c r="E87" s="60">
        <v>54789.541666666664</v>
      </c>
      <c r="F87" s="54" t="s">
        <v>610</v>
      </c>
      <c r="G87" s="54" t="s">
        <v>1774</v>
      </c>
      <c r="H87" s="54" t="s">
        <v>1283</v>
      </c>
      <c r="I87" s="54" t="s">
        <v>1284</v>
      </c>
      <c r="J87" s="54">
        <v>0</v>
      </c>
      <c r="K87" s="54" t="s">
        <v>1285</v>
      </c>
      <c r="L87" s="54" t="s">
        <v>601</v>
      </c>
    </row>
    <row r="88" spans="1:12">
      <c r="A88" s="54" t="s">
        <v>1289</v>
      </c>
      <c r="B88" s="54" t="s">
        <v>902</v>
      </c>
      <c r="C88" s="59">
        <v>138673.40625</v>
      </c>
      <c r="D88" s="60">
        <v>45807.562372685185</v>
      </c>
      <c r="E88" s="60">
        <v>54789.541666666664</v>
      </c>
      <c r="F88" s="54" t="s">
        <v>610</v>
      </c>
      <c r="G88" s="54" t="s">
        <v>1774</v>
      </c>
      <c r="H88" s="54" t="s">
        <v>1292</v>
      </c>
      <c r="I88" s="54" t="s">
        <v>1293</v>
      </c>
      <c r="J88" s="54">
        <v>0</v>
      </c>
      <c r="K88" s="54" t="s">
        <v>1294</v>
      </c>
      <c r="L88" s="54" t="s">
        <v>601</v>
      </c>
    </row>
    <row r="89" spans="1:12">
      <c r="A89" s="54" t="s">
        <v>1295</v>
      </c>
      <c r="B89" s="54" t="s">
        <v>1089</v>
      </c>
      <c r="C89" s="59">
        <v>95277.8984375</v>
      </c>
      <c r="D89" s="60">
        <v>45782.95171296296</v>
      </c>
      <c r="E89" s="60">
        <v>54789.541666666664</v>
      </c>
      <c r="F89" s="54" t="s">
        <v>610</v>
      </c>
      <c r="G89" s="54" t="s">
        <v>1774</v>
      </c>
      <c r="H89" s="54" t="s">
        <v>1300</v>
      </c>
      <c r="I89" s="54" t="s">
        <v>1301</v>
      </c>
      <c r="J89" s="54">
        <v>0</v>
      </c>
      <c r="K89" s="54" t="s">
        <v>1302</v>
      </c>
      <c r="L89" s="54" t="s">
        <v>601</v>
      </c>
    </row>
    <row r="90" spans="1:12">
      <c r="A90" s="54" t="s">
        <v>1303</v>
      </c>
      <c r="B90" s="54" t="s">
        <v>1089</v>
      </c>
      <c r="C90" s="59">
        <v>97587.3984375</v>
      </c>
      <c r="D90" s="60">
        <v>45782.952523148146</v>
      </c>
      <c r="E90" s="60">
        <v>54789.541666666664</v>
      </c>
      <c r="F90" s="54" t="s">
        <v>610</v>
      </c>
      <c r="G90" s="54" t="s">
        <v>1774</v>
      </c>
      <c r="H90" s="54" t="s">
        <v>1309</v>
      </c>
      <c r="I90" s="54" t="s">
        <v>1310</v>
      </c>
      <c r="J90" s="54">
        <v>0</v>
      </c>
      <c r="K90" s="54" t="s">
        <v>1311</v>
      </c>
      <c r="L90" s="54" t="s">
        <v>601</v>
      </c>
    </row>
    <row r="91" spans="1:12">
      <c r="A91" s="54" t="s">
        <v>1312</v>
      </c>
      <c r="B91" s="54" t="s">
        <v>902</v>
      </c>
      <c r="C91" s="59">
        <v>89151.796875</v>
      </c>
      <c r="D91" s="60">
        <v>45782.953043981484</v>
      </c>
      <c r="E91" s="60">
        <v>54789.541666666664</v>
      </c>
      <c r="F91" s="54" t="s">
        <v>610</v>
      </c>
      <c r="G91" s="54" t="s">
        <v>1774</v>
      </c>
      <c r="H91" s="54" t="s">
        <v>1318</v>
      </c>
      <c r="I91" s="54" t="s">
        <v>1319</v>
      </c>
      <c r="J91" s="54">
        <v>0</v>
      </c>
      <c r="K91" s="54" t="s">
        <v>1320</v>
      </c>
      <c r="L91" s="54" t="s">
        <v>601</v>
      </c>
    </row>
    <row r="92" spans="1:12">
      <c r="A92" s="54" t="s">
        <v>1321</v>
      </c>
      <c r="B92" s="54" t="s">
        <v>1001</v>
      </c>
      <c r="C92" s="59">
        <v>151185</v>
      </c>
      <c r="D92" s="60">
        <v>45716.482511574075</v>
      </c>
      <c r="E92" s="60">
        <v>54789.541666666664</v>
      </c>
      <c r="F92" s="54" t="s">
        <v>610</v>
      </c>
      <c r="G92" s="54" t="s">
        <v>1774</v>
      </c>
      <c r="H92" s="54" t="s">
        <v>1327</v>
      </c>
      <c r="I92" s="54" t="s">
        <v>1328</v>
      </c>
      <c r="J92" s="54">
        <v>0</v>
      </c>
      <c r="K92" s="54" t="s">
        <v>1329</v>
      </c>
      <c r="L92" s="54" t="s">
        <v>601</v>
      </c>
    </row>
    <row r="93" spans="1:12">
      <c r="A93" s="54" t="s">
        <v>1331</v>
      </c>
      <c r="B93" s="54" t="s">
        <v>890</v>
      </c>
      <c r="C93" s="59">
        <v>320792.59375</v>
      </c>
      <c r="D93" s="60">
        <v>45807.562048611115</v>
      </c>
      <c r="E93" s="60">
        <v>54789.541666666664</v>
      </c>
      <c r="F93" s="54" t="s">
        <v>610</v>
      </c>
      <c r="G93" s="54" t="s">
        <v>1774</v>
      </c>
      <c r="H93" s="54" t="s">
        <v>1336</v>
      </c>
      <c r="I93" s="54" t="s">
        <v>1337</v>
      </c>
      <c r="J93" s="54">
        <v>0</v>
      </c>
      <c r="K93" s="54">
        <v>0</v>
      </c>
      <c r="L93" s="54" t="s">
        <v>601</v>
      </c>
    </row>
    <row r="94" spans="1:12">
      <c r="A94" s="54" t="s">
        <v>1339</v>
      </c>
      <c r="B94" s="54" t="s">
        <v>1341</v>
      </c>
      <c r="C94" s="59">
        <v>49620.27734375</v>
      </c>
      <c r="D94" s="60">
        <v>45782.953472222223</v>
      </c>
      <c r="E94" s="60">
        <v>54789.541666666664</v>
      </c>
      <c r="F94" s="54" t="s">
        <v>610</v>
      </c>
      <c r="G94" s="54" t="s">
        <v>1778</v>
      </c>
      <c r="H94" s="54" t="s">
        <v>1348</v>
      </c>
      <c r="I94" s="54" t="s">
        <v>1349</v>
      </c>
      <c r="J94" s="54">
        <v>0</v>
      </c>
      <c r="K94" s="54" t="s">
        <v>1350</v>
      </c>
      <c r="L94" s="54" t="s">
        <v>601</v>
      </c>
    </row>
    <row r="95" spans="1:12">
      <c r="A95" s="54" t="s">
        <v>1356</v>
      </c>
      <c r="B95" s="54" t="s">
        <v>1358</v>
      </c>
      <c r="C95" s="59">
        <v>28001.48046875</v>
      </c>
      <c r="D95" s="60">
        <v>45538.582418981481</v>
      </c>
      <c r="E95" s="60">
        <v>54789.541666666664</v>
      </c>
      <c r="F95" s="54" t="s">
        <v>610</v>
      </c>
      <c r="G95" s="54" t="s">
        <v>1774</v>
      </c>
      <c r="H95" s="54" t="s">
        <v>1364</v>
      </c>
      <c r="I95" s="54" t="s">
        <v>1365</v>
      </c>
      <c r="J95" s="54">
        <v>0</v>
      </c>
      <c r="K95" s="54" t="s">
        <v>1366</v>
      </c>
      <c r="L95" s="54" t="s">
        <v>601</v>
      </c>
    </row>
    <row r="96" spans="1:12">
      <c r="A96" s="54" t="s">
        <v>1367</v>
      </c>
      <c r="B96" s="54" t="s">
        <v>1369</v>
      </c>
      <c r="C96" s="59">
        <v>32160</v>
      </c>
      <c r="D96" s="60">
        <v>45782.941689814812</v>
      </c>
      <c r="E96" s="60">
        <v>54789.541666666664</v>
      </c>
      <c r="F96" s="54" t="s">
        <v>610</v>
      </c>
      <c r="G96" s="54" t="s">
        <v>1780</v>
      </c>
      <c r="H96" s="54" t="s">
        <v>1376</v>
      </c>
      <c r="I96" s="54" t="s">
        <v>1377</v>
      </c>
      <c r="J96" s="54">
        <v>0</v>
      </c>
      <c r="K96" s="54" t="s">
        <v>1378</v>
      </c>
      <c r="L96" s="54" t="s">
        <v>601</v>
      </c>
    </row>
    <row r="97" spans="1:12">
      <c r="A97" s="54" t="s">
        <v>1383</v>
      </c>
      <c r="B97" s="54" t="s">
        <v>1385</v>
      </c>
      <c r="C97" s="59">
        <v>46490.80078125</v>
      </c>
      <c r="D97" s="60">
        <v>45782.954317129632</v>
      </c>
      <c r="E97" s="60">
        <v>54789.541666666664</v>
      </c>
      <c r="F97" s="54" t="s">
        <v>610</v>
      </c>
      <c r="G97" s="54" t="s">
        <v>1774</v>
      </c>
      <c r="H97" s="54" t="s">
        <v>1389</v>
      </c>
      <c r="I97" s="54" t="s">
        <v>1390</v>
      </c>
      <c r="J97" s="54">
        <v>0</v>
      </c>
      <c r="K97" s="54" t="s">
        <v>1391</v>
      </c>
      <c r="L97" s="54" t="s">
        <v>601</v>
      </c>
    </row>
    <row r="98" spans="1:12">
      <c r="A98" s="54" t="s">
        <v>1393</v>
      </c>
      <c r="B98" s="54" t="s">
        <v>1369</v>
      </c>
      <c r="C98" s="59">
        <v>71890.3984375</v>
      </c>
      <c r="D98" s="60">
        <v>45720.959560185183</v>
      </c>
      <c r="E98" s="60">
        <v>54789.541666666664</v>
      </c>
      <c r="F98" s="54" t="s">
        <v>610</v>
      </c>
      <c r="G98" s="54" t="s">
        <v>1778</v>
      </c>
      <c r="H98" s="54" t="s">
        <v>1399</v>
      </c>
      <c r="I98" s="54" t="s">
        <v>1400</v>
      </c>
      <c r="J98" s="54">
        <v>0</v>
      </c>
      <c r="K98" s="54" t="s">
        <v>1401</v>
      </c>
      <c r="L98" s="54" t="s">
        <v>601</v>
      </c>
    </row>
    <row r="99" spans="1:12">
      <c r="A99" s="54" t="s">
        <v>1402</v>
      </c>
      <c r="B99" s="54" t="s">
        <v>1089</v>
      </c>
      <c r="C99" s="59">
        <v>57550</v>
      </c>
      <c r="D99" s="60">
        <v>45723.443356481483</v>
      </c>
      <c r="E99" s="60">
        <v>54789.541666666664</v>
      </c>
      <c r="F99" s="54" t="s">
        <v>610</v>
      </c>
      <c r="G99" s="54" t="s">
        <v>1774</v>
      </c>
      <c r="H99" s="54" t="s">
        <v>1408</v>
      </c>
      <c r="I99" s="54" t="s">
        <v>1409</v>
      </c>
      <c r="J99" s="54">
        <v>0</v>
      </c>
      <c r="K99" s="54" t="s">
        <v>1410</v>
      </c>
      <c r="L99" s="54" t="s">
        <v>601</v>
      </c>
    </row>
    <row r="100" spans="1:12">
      <c r="A100" s="54" t="s">
        <v>1412</v>
      </c>
      <c r="B100" s="54" t="s">
        <v>1142</v>
      </c>
      <c r="C100" s="59">
        <v>69006.5</v>
      </c>
      <c r="D100" s="60">
        <v>45724.486747685187</v>
      </c>
      <c r="E100" s="60">
        <v>54789.541666666664</v>
      </c>
      <c r="F100" s="54" t="s">
        <v>610</v>
      </c>
      <c r="G100" s="54" t="s">
        <v>1774</v>
      </c>
      <c r="H100" s="54" t="s">
        <v>1418</v>
      </c>
      <c r="I100" s="54" t="s">
        <v>1419</v>
      </c>
      <c r="J100" s="54">
        <v>0</v>
      </c>
      <c r="K100" s="54" t="s">
        <v>1420</v>
      </c>
      <c r="L100" s="54" t="s">
        <v>601</v>
      </c>
    </row>
    <row r="101" spans="1:12">
      <c r="A101" s="54" t="s">
        <v>1421</v>
      </c>
      <c r="B101" s="54" t="s">
        <v>1089</v>
      </c>
      <c r="C101" s="59">
        <v>42092.5</v>
      </c>
      <c r="D101" s="60">
        <v>45724.479247685187</v>
      </c>
      <c r="E101" s="60">
        <v>54789.541666666664</v>
      </c>
      <c r="F101" s="54" t="s">
        <v>610</v>
      </c>
      <c r="G101" s="54" t="s">
        <v>1774</v>
      </c>
      <c r="H101" s="54" t="s">
        <v>1427</v>
      </c>
      <c r="I101" s="54" t="s">
        <v>1428</v>
      </c>
      <c r="J101" s="54">
        <v>0</v>
      </c>
      <c r="K101" s="54" t="s">
        <v>1429</v>
      </c>
      <c r="L101" s="54" t="s">
        <v>601</v>
      </c>
    </row>
    <row r="102" spans="1:12">
      <c r="A102" s="54" t="s">
        <v>1430</v>
      </c>
      <c r="B102" s="54" t="s">
        <v>1142</v>
      </c>
      <c r="C102" s="59">
        <v>50947.1015625</v>
      </c>
      <c r="D102" s="60">
        <v>45722.461458333331</v>
      </c>
      <c r="E102" s="60">
        <v>54789.541666666664</v>
      </c>
      <c r="F102" s="54" t="s">
        <v>610</v>
      </c>
      <c r="G102" s="54" t="s">
        <v>1774</v>
      </c>
      <c r="H102" s="54" t="s">
        <v>1435</v>
      </c>
      <c r="I102" s="54" t="s">
        <v>1436</v>
      </c>
      <c r="J102" s="54">
        <v>0</v>
      </c>
      <c r="K102" s="54" t="s">
        <v>1437</v>
      </c>
      <c r="L102" s="54" t="s">
        <v>601</v>
      </c>
    </row>
    <row r="103" spans="1:12">
      <c r="A103" s="54" t="s">
        <v>1438</v>
      </c>
      <c r="B103" s="54" t="s">
        <v>1369</v>
      </c>
      <c r="C103" s="59">
        <v>71307.6015625</v>
      </c>
      <c r="D103" s="60">
        <v>45782.953877314816</v>
      </c>
      <c r="E103" s="60">
        <v>54789.541666666664</v>
      </c>
      <c r="F103" s="54" t="s">
        <v>610</v>
      </c>
      <c r="G103" s="54" t="s">
        <v>1778</v>
      </c>
      <c r="H103" s="54" t="s">
        <v>1444</v>
      </c>
      <c r="I103" s="54" t="s">
        <v>1445</v>
      </c>
      <c r="J103" s="54">
        <v>0</v>
      </c>
      <c r="K103" s="54" t="s">
        <v>1446</v>
      </c>
      <c r="L103" s="54" t="s">
        <v>601</v>
      </c>
    </row>
    <row r="104" spans="1:12">
      <c r="A104" s="54" t="s">
        <v>1447</v>
      </c>
      <c r="B104" s="54" t="s">
        <v>902</v>
      </c>
      <c r="C104" s="59">
        <v>44203.80078125</v>
      </c>
      <c r="D104" s="60">
        <v>45711.906284722223</v>
      </c>
      <c r="E104" s="60">
        <v>54789.541666666664</v>
      </c>
      <c r="F104" s="54" t="s">
        <v>610</v>
      </c>
      <c r="G104" s="54" t="s">
        <v>1774</v>
      </c>
      <c r="H104" s="54" t="s">
        <v>1453</v>
      </c>
      <c r="I104" s="54" t="s">
        <v>1454</v>
      </c>
      <c r="J104" s="54">
        <v>0</v>
      </c>
      <c r="K104" s="54" t="s">
        <v>1455</v>
      </c>
      <c r="L104" s="54" t="s">
        <v>601</v>
      </c>
    </row>
    <row r="105" spans="1:12">
      <c r="A105" s="54" t="s">
        <v>1457</v>
      </c>
      <c r="B105" s="54" t="s">
        <v>1369</v>
      </c>
      <c r="C105" s="59">
        <v>26803.47265625</v>
      </c>
      <c r="D105" s="60">
        <v>45711.985868055555</v>
      </c>
      <c r="E105" s="60">
        <v>54789.541666666664</v>
      </c>
      <c r="F105" s="54" t="s">
        <v>610</v>
      </c>
      <c r="G105" s="54" t="s">
        <v>1778</v>
      </c>
      <c r="H105" s="54" t="s">
        <v>1463</v>
      </c>
      <c r="I105" s="54" t="s">
        <v>1464</v>
      </c>
      <c r="J105" s="54">
        <v>0</v>
      </c>
      <c r="K105" s="54" t="s">
        <v>1465</v>
      </c>
      <c r="L105" s="54" t="s">
        <v>601</v>
      </c>
    </row>
    <row r="106" spans="1:12">
      <c r="A106" s="54" t="s">
        <v>1466</v>
      </c>
      <c r="B106" s="54" t="s">
        <v>1369</v>
      </c>
      <c r="C106" s="59">
        <v>47477.80078125</v>
      </c>
      <c r="D106" s="60">
        <v>45711.903356481482</v>
      </c>
      <c r="E106" s="60">
        <v>54789.541666666664</v>
      </c>
      <c r="F106" s="54" t="s">
        <v>610</v>
      </c>
      <c r="G106" s="54" t="s">
        <v>1778</v>
      </c>
      <c r="H106" s="54" t="s">
        <v>1472</v>
      </c>
      <c r="I106" s="54" t="s">
        <v>1473</v>
      </c>
      <c r="J106" s="54">
        <v>0</v>
      </c>
      <c r="K106" s="54" t="s">
        <v>1474</v>
      </c>
      <c r="L106" s="54" t="s">
        <v>601</v>
      </c>
    </row>
    <row r="107" spans="1:12">
      <c r="A107" s="54" t="s">
        <v>1475</v>
      </c>
      <c r="B107" s="54" t="s">
        <v>1477</v>
      </c>
      <c r="C107" s="59">
        <v>18931.236328125</v>
      </c>
      <c r="D107" s="60">
        <v>45782.955289351848</v>
      </c>
      <c r="E107" s="60">
        <v>54789.541666666664</v>
      </c>
      <c r="F107" s="54" t="s">
        <v>610</v>
      </c>
      <c r="G107" s="54" t="s">
        <v>1774</v>
      </c>
      <c r="H107" s="54" t="s">
        <v>1484</v>
      </c>
      <c r="I107" s="54" t="s">
        <v>1485</v>
      </c>
      <c r="J107" s="54">
        <v>0</v>
      </c>
      <c r="K107" s="54" t="s">
        <v>1486</v>
      </c>
      <c r="L107" s="54" t="s">
        <v>601</v>
      </c>
    </row>
    <row r="108" spans="1:12">
      <c r="A108" s="54" t="s">
        <v>1487</v>
      </c>
      <c r="B108" s="54" t="s">
        <v>1489</v>
      </c>
      <c r="C108" s="59">
        <v>29063</v>
      </c>
      <c r="D108" s="60">
        <v>45737.985995370371</v>
      </c>
      <c r="E108" s="60">
        <v>54789.541666666664</v>
      </c>
      <c r="F108" s="54" t="s">
        <v>610</v>
      </c>
      <c r="G108" s="54" t="s">
        <v>1778</v>
      </c>
      <c r="H108" s="54" t="s">
        <v>1496</v>
      </c>
      <c r="I108" s="54" t="s">
        <v>1497</v>
      </c>
      <c r="J108" s="54">
        <v>0</v>
      </c>
      <c r="K108" s="54" t="s">
        <v>1498</v>
      </c>
      <c r="L108" s="54" t="s">
        <v>601</v>
      </c>
    </row>
    <row r="109" spans="1:12">
      <c r="A109" s="54" t="s">
        <v>1503</v>
      </c>
      <c r="B109" s="54" t="s">
        <v>1505</v>
      </c>
      <c r="C109" s="59">
        <v>8705</v>
      </c>
      <c r="D109" s="60">
        <v>45737.986435185187</v>
      </c>
      <c r="E109" s="60">
        <v>54789.541666666664</v>
      </c>
      <c r="F109" s="54" t="s">
        <v>610</v>
      </c>
      <c r="G109" s="54" t="s">
        <v>1774</v>
      </c>
      <c r="H109" s="54" t="s">
        <v>1512</v>
      </c>
      <c r="I109" s="54" t="s">
        <v>1513</v>
      </c>
      <c r="J109" s="54">
        <v>0</v>
      </c>
      <c r="K109" s="54" t="s">
        <v>1514</v>
      </c>
      <c r="L109" s="54" t="s">
        <v>601</v>
      </c>
    </row>
    <row r="110" spans="1:12">
      <c r="A110" s="54" t="s">
        <v>1515</v>
      </c>
      <c r="B110" s="54" t="s">
        <v>1517</v>
      </c>
      <c r="C110" s="59">
        <v>22861</v>
      </c>
      <c r="D110" s="60">
        <v>45782.955740740741</v>
      </c>
      <c r="E110" s="60">
        <v>54789.541666666664</v>
      </c>
      <c r="F110" s="54" t="s">
        <v>610</v>
      </c>
      <c r="G110" s="54" t="s">
        <v>1780</v>
      </c>
      <c r="H110" s="54" t="s">
        <v>1522</v>
      </c>
      <c r="I110" s="54">
        <v>0</v>
      </c>
      <c r="J110" s="54">
        <v>0</v>
      </c>
      <c r="K110" s="54" t="s">
        <v>1523</v>
      </c>
      <c r="L110" s="54" t="s">
        <v>601</v>
      </c>
    </row>
    <row r="111" spans="1:12">
      <c r="A111" s="54" t="s">
        <v>1526</v>
      </c>
      <c r="B111" s="54" t="s">
        <v>1089</v>
      </c>
      <c r="C111" s="59">
        <v>33038.6015625</v>
      </c>
      <c r="D111" s="60">
        <v>45782.959745370368</v>
      </c>
      <c r="E111" s="60">
        <v>54789.541666666664</v>
      </c>
      <c r="F111" s="54" t="s">
        <v>610</v>
      </c>
      <c r="G111" s="54" t="s">
        <v>1774</v>
      </c>
      <c r="H111" s="54" t="s">
        <v>1529</v>
      </c>
      <c r="I111" s="54" t="s">
        <v>1530</v>
      </c>
      <c r="J111" s="54">
        <v>0</v>
      </c>
      <c r="K111" s="54" t="s">
        <v>1531</v>
      </c>
      <c r="L111" s="54" t="s">
        <v>601</v>
      </c>
    </row>
    <row r="112" spans="1:12">
      <c r="A112" s="54" t="s">
        <v>1533</v>
      </c>
      <c r="B112" s="54" t="s">
        <v>1089</v>
      </c>
      <c r="C112" s="59">
        <v>19603.599609375</v>
      </c>
      <c r="D112" s="60">
        <v>45782.960960648146</v>
      </c>
      <c r="E112" s="60">
        <v>54789.541666666664</v>
      </c>
      <c r="F112" s="54" t="s">
        <v>610</v>
      </c>
      <c r="G112" s="54" t="s">
        <v>1774</v>
      </c>
      <c r="H112" s="54" t="s">
        <v>1539</v>
      </c>
      <c r="I112" s="54" t="s">
        <v>1540</v>
      </c>
      <c r="J112" s="54">
        <v>0</v>
      </c>
      <c r="K112" s="54" t="s">
        <v>1541</v>
      </c>
      <c r="L112" s="54" t="s">
        <v>601</v>
      </c>
    </row>
    <row r="113" spans="1:12">
      <c r="A113" s="54" t="s">
        <v>1542</v>
      </c>
      <c r="B113" s="54" t="s">
        <v>1544</v>
      </c>
      <c r="C113" s="59">
        <v>8934.7998046875</v>
      </c>
      <c r="D113" s="60">
        <v>45782.960266203707</v>
      </c>
      <c r="E113" s="60">
        <v>54789.541666666664</v>
      </c>
      <c r="F113" s="54" t="s">
        <v>610</v>
      </c>
      <c r="G113" s="54" t="s">
        <v>1774</v>
      </c>
      <c r="H113" s="54" t="s">
        <v>1551</v>
      </c>
      <c r="I113" s="54" t="s">
        <v>1552</v>
      </c>
      <c r="J113" s="54">
        <v>0</v>
      </c>
      <c r="K113" s="54" t="s">
        <v>1553</v>
      </c>
      <c r="L113" s="54" t="s">
        <v>601</v>
      </c>
    </row>
    <row r="114" spans="1:12">
      <c r="A114" s="54" t="s">
        <v>1555</v>
      </c>
      <c r="B114" s="54" t="s">
        <v>1557</v>
      </c>
      <c r="C114" s="59">
        <v>5671</v>
      </c>
      <c r="D114" s="60">
        <v>45847.411087962966</v>
      </c>
      <c r="E114" s="60">
        <v>54789.541666666664</v>
      </c>
      <c r="F114" s="54" t="s">
        <v>610</v>
      </c>
      <c r="G114" s="54" t="s">
        <v>1774</v>
      </c>
      <c r="H114" s="54" t="s">
        <v>1564</v>
      </c>
      <c r="I114" s="54" t="s">
        <v>1565</v>
      </c>
      <c r="J114" s="54">
        <v>0</v>
      </c>
      <c r="K114" s="54" t="s">
        <v>1566</v>
      </c>
      <c r="L114" s="54" t="s">
        <v>601</v>
      </c>
    </row>
    <row r="115" spans="1:12">
      <c r="A115" s="54" t="s">
        <v>1568</v>
      </c>
      <c r="B115" s="54" t="s">
        <v>1570</v>
      </c>
      <c r="C115" s="59">
        <v>3028.10009765625</v>
      </c>
      <c r="D115" s="60">
        <v>45894.987928240742</v>
      </c>
      <c r="E115" s="60">
        <v>54789.541666666664</v>
      </c>
      <c r="F115" s="54" t="s">
        <v>610</v>
      </c>
      <c r="G115" s="54" t="s">
        <v>1774</v>
      </c>
      <c r="H115" s="54" t="s">
        <v>1574</v>
      </c>
      <c r="I115" s="54" t="s">
        <v>1575</v>
      </c>
      <c r="J115" s="54">
        <v>0</v>
      </c>
      <c r="K115" s="54" t="s">
        <v>1576</v>
      </c>
      <c r="L115" s="54" t="s">
        <v>601</v>
      </c>
    </row>
    <row r="116" spans="1:12">
      <c r="A116" s="54" t="s">
        <v>1578</v>
      </c>
      <c r="B116" s="54" t="s">
        <v>1580</v>
      </c>
      <c r="C116" s="59">
        <v>1667</v>
      </c>
      <c r="D116" s="60">
        <v>45894.986828703702</v>
      </c>
      <c r="E116" s="60">
        <v>54789.541666666664</v>
      </c>
      <c r="F116" s="54" t="s">
        <v>610</v>
      </c>
      <c r="G116" s="54" t="s">
        <v>1778</v>
      </c>
      <c r="H116" s="54" t="s">
        <v>1584</v>
      </c>
      <c r="I116" s="54">
        <v>0</v>
      </c>
      <c r="J116" s="54">
        <v>0</v>
      </c>
      <c r="K116" s="54" t="s">
        <v>1586</v>
      </c>
      <c r="L116" s="54" t="s">
        <v>601</v>
      </c>
    </row>
    <row r="117" spans="1:12">
      <c r="A117" s="54" t="s">
        <v>1587</v>
      </c>
      <c r="B117" s="54" t="s">
        <v>1589</v>
      </c>
      <c r="C117" s="59">
        <v>508232.5625</v>
      </c>
      <c r="D117" s="60">
        <v>45723.576249999998</v>
      </c>
      <c r="E117" s="60">
        <v>54789.541666666664</v>
      </c>
      <c r="F117" s="54" t="s">
        <v>610</v>
      </c>
      <c r="G117" s="54" t="s">
        <v>1774</v>
      </c>
      <c r="H117" s="54" t="s">
        <v>1592</v>
      </c>
      <c r="I117" s="54" t="s">
        <v>1593</v>
      </c>
      <c r="J117" s="54">
        <v>0</v>
      </c>
      <c r="K117" s="54">
        <v>0</v>
      </c>
      <c r="L117" s="54" t="s">
        <v>601</v>
      </c>
    </row>
    <row r="118" spans="1:12">
      <c r="A118" s="54" t="s">
        <v>1595</v>
      </c>
      <c r="B118" s="54" t="s">
        <v>1589</v>
      </c>
      <c r="C118" s="59">
        <v>280849.34375</v>
      </c>
      <c r="D118" s="60">
        <v>45721.961782407408</v>
      </c>
      <c r="E118" s="60">
        <v>54789.541666666664</v>
      </c>
      <c r="F118" s="54" t="s">
        <v>610</v>
      </c>
      <c r="G118" s="54" t="s">
        <v>1774</v>
      </c>
      <c r="H118" s="54" t="s">
        <v>1597</v>
      </c>
      <c r="I118" s="54" t="s">
        <v>1598</v>
      </c>
      <c r="J118" s="54">
        <v>0</v>
      </c>
      <c r="K118" s="54">
        <v>0</v>
      </c>
      <c r="L118" s="54" t="s">
        <v>601</v>
      </c>
    </row>
    <row r="119" spans="1:12">
      <c r="A119" s="54" t="s">
        <v>1600</v>
      </c>
      <c r="B119" s="54" t="s">
        <v>1589</v>
      </c>
      <c r="C119" s="59">
        <v>240576.546875</v>
      </c>
      <c r="D119" s="60">
        <v>45901.653182870374</v>
      </c>
      <c r="E119" s="60">
        <v>54789.541666666664</v>
      </c>
      <c r="F119" s="54" t="s">
        <v>610</v>
      </c>
      <c r="G119" s="54" t="s">
        <v>1774</v>
      </c>
      <c r="H119" s="54" t="s">
        <v>1603</v>
      </c>
      <c r="I119" s="54" t="s">
        <v>1604</v>
      </c>
      <c r="J119" s="54">
        <v>0</v>
      </c>
      <c r="K119" s="54">
        <v>0</v>
      </c>
      <c r="L119" s="54" t="s">
        <v>601</v>
      </c>
    </row>
    <row r="120" spans="1:12">
      <c r="A120" s="54" t="s">
        <v>1606</v>
      </c>
      <c r="B120" s="54" t="s">
        <v>1589</v>
      </c>
      <c r="C120" s="59">
        <v>299014.1875</v>
      </c>
      <c r="D120" s="60">
        <v>45782.956712962965</v>
      </c>
      <c r="E120" s="60">
        <v>54789.541666666664</v>
      </c>
      <c r="F120" s="54" t="s">
        <v>610</v>
      </c>
      <c r="G120" s="54" t="s">
        <v>1780</v>
      </c>
      <c r="H120" s="54" t="s">
        <v>1608</v>
      </c>
      <c r="I120" s="54" t="s">
        <v>1609</v>
      </c>
      <c r="J120" s="54">
        <v>0</v>
      </c>
      <c r="K120" s="54" t="s">
        <v>1610</v>
      </c>
      <c r="L120" s="54" t="s">
        <v>601</v>
      </c>
    </row>
    <row r="121" spans="1:12">
      <c r="A121" s="54" t="s">
        <v>1615</v>
      </c>
      <c r="B121" s="54" t="s">
        <v>1589</v>
      </c>
      <c r="C121" s="59">
        <v>95072.015625</v>
      </c>
      <c r="D121" s="60">
        <v>45724.481562499997</v>
      </c>
      <c r="E121" s="60">
        <v>54789.541666666664</v>
      </c>
      <c r="F121" s="54" t="s">
        <v>610</v>
      </c>
      <c r="G121" s="54" t="s">
        <v>1779</v>
      </c>
      <c r="H121" s="54" t="s">
        <v>1617</v>
      </c>
      <c r="I121" s="54" t="s">
        <v>1618</v>
      </c>
      <c r="J121" s="54">
        <v>0</v>
      </c>
      <c r="K121" s="54" t="s">
        <v>1619</v>
      </c>
      <c r="L121" s="54" t="s">
        <v>601</v>
      </c>
    </row>
    <row r="122" spans="1:12">
      <c r="A122" s="54" t="s">
        <v>1623</v>
      </c>
      <c r="B122" s="54" t="s">
        <v>1625</v>
      </c>
      <c r="C122" s="59">
        <v>34695.1640625</v>
      </c>
      <c r="D122" s="60">
        <v>45782.957106481481</v>
      </c>
      <c r="E122" s="60">
        <v>54789.541666666664</v>
      </c>
      <c r="F122" s="54" t="s">
        <v>610</v>
      </c>
      <c r="G122" s="54" t="s">
        <v>1783</v>
      </c>
      <c r="H122" s="54" t="s">
        <v>1629</v>
      </c>
      <c r="I122" s="54" t="s">
        <v>1630</v>
      </c>
      <c r="J122" s="54">
        <v>0</v>
      </c>
      <c r="K122" s="54" t="s">
        <v>1631</v>
      </c>
      <c r="L122" s="54" t="s">
        <v>601</v>
      </c>
    </row>
    <row r="123" spans="1:12">
      <c r="A123" s="54" t="s">
        <v>1633</v>
      </c>
      <c r="B123" s="54" t="s">
        <v>1635</v>
      </c>
      <c r="C123" s="59">
        <v>179238.03125</v>
      </c>
      <c r="D123" s="60">
        <v>45782.943749999999</v>
      </c>
      <c r="E123" s="60">
        <v>54789.541666666664</v>
      </c>
      <c r="F123" s="54" t="s">
        <v>610</v>
      </c>
      <c r="G123" s="54" t="s">
        <v>1780</v>
      </c>
      <c r="H123" s="54" t="s">
        <v>1641</v>
      </c>
      <c r="I123" s="54" t="s">
        <v>1642</v>
      </c>
      <c r="J123" s="54">
        <v>0</v>
      </c>
      <c r="K123" s="54">
        <v>0</v>
      </c>
      <c r="L123" s="54" t="s">
        <v>601</v>
      </c>
    </row>
    <row r="124" spans="1:12">
      <c r="A124" s="54" t="s">
        <v>1644</v>
      </c>
      <c r="B124" s="54" t="s">
        <v>1589</v>
      </c>
      <c r="C124" s="59">
        <v>41281.43359375</v>
      </c>
      <c r="D124" s="60">
        <v>45711.907476851855</v>
      </c>
      <c r="E124" s="60">
        <v>54789.541666666664</v>
      </c>
      <c r="F124" s="54" t="s">
        <v>610</v>
      </c>
      <c r="G124" s="54" t="s">
        <v>1774</v>
      </c>
      <c r="H124" s="54" t="s">
        <v>1646</v>
      </c>
      <c r="I124" s="54" t="s">
        <v>1647</v>
      </c>
      <c r="J124" s="54">
        <v>0</v>
      </c>
      <c r="K124" s="54">
        <v>0</v>
      </c>
      <c r="L124" s="54" t="s">
        <v>601</v>
      </c>
    </row>
    <row r="125" spans="1:12">
      <c r="A125" s="54" t="s">
        <v>1650</v>
      </c>
      <c r="B125" s="54" t="s">
        <v>1625</v>
      </c>
      <c r="C125" s="59">
        <v>47328.6015625</v>
      </c>
      <c r="D125" s="60">
        <v>45724.478425925925</v>
      </c>
      <c r="E125" s="60">
        <v>54789.541666666664</v>
      </c>
      <c r="F125" s="54" t="s">
        <v>610</v>
      </c>
      <c r="G125" s="54" t="s">
        <v>1778</v>
      </c>
      <c r="H125" s="54" t="s">
        <v>1652</v>
      </c>
      <c r="I125" s="54" t="s">
        <v>1653</v>
      </c>
      <c r="J125" s="54">
        <v>0</v>
      </c>
      <c r="K125" s="54" t="s">
        <v>1654</v>
      </c>
      <c r="L125" s="54" t="s">
        <v>601</v>
      </c>
    </row>
    <row r="126" spans="1:12">
      <c r="A126" s="54" t="s">
        <v>1658</v>
      </c>
      <c r="B126" s="54" t="s">
        <v>1625</v>
      </c>
      <c r="C126" s="59">
        <v>73874.515625</v>
      </c>
      <c r="D126" s="60">
        <v>45782.957488425927</v>
      </c>
      <c r="E126" s="60">
        <v>54789.541666666664</v>
      </c>
      <c r="F126" s="54" t="s">
        <v>610</v>
      </c>
      <c r="G126" s="54" t="s">
        <v>1780</v>
      </c>
      <c r="H126" s="54" t="s">
        <v>1663</v>
      </c>
      <c r="I126" s="54">
        <v>0</v>
      </c>
      <c r="J126" s="54">
        <v>0</v>
      </c>
      <c r="K126" s="54" t="s">
        <v>1664</v>
      </c>
      <c r="L126" s="54" t="s">
        <v>601</v>
      </c>
    </row>
    <row r="127" spans="1:12">
      <c r="A127" s="54" t="s">
        <v>1666</v>
      </c>
      <c r="B127" s="54" t="s">
        <v>1589</v>
      </c>
      <c r="C127" s="59">
        <v>82899.3984375</v>
      </c>
      <c r="D127" s="60">
        <v>45782.957905092589</v>
      </c>
      <c r="E127" s="60">
        <v>54789.541666666664</v>
      </c>
      <c r="F127" s="54" t="s">
        <v>610</v>
      </c>
      <c r="G127" s="54" t="s">
        <v>1780</v>
      </c>
      <c r="H127" s="54" t="s">
        <v>1671</v>
      </c>
      <c r="I127" s="54" t="s">
        <v>1672</v>
      </c>
      <c r="J127" s="54">
        <v>0</v>
      </c>
      <c r="K127" s="54" t="s">
        <v>1673</v>
      </c>
      <c r="L127" s="54" t="s">
        <v>601</v>
      </c>
    </row>
    <row r="128" spans="1:12">
      <c r="A128" s="54" t="s">
        <v>1675</v>
      </c>
      <c r="B128" s="54" t="s">
        <v>1625</v>
      </c>
      <c r="C128" s="59">
        <v>54446.33984375</v>
      </c>
      <c r="D128" s="60">
        <v>45723.483715277776</v>
      </c>
      <c r="E128" s="60">
        <v>54789.541666666664</v>
      </c>
      <c r="F128" s="54" t="s">
        <v>610</v>
      </c>
      <c r="G128" s="54" t="s">
        <v>1778</v>
      </c>
      <c r="H128" s="54" t="s">
        <v>1680</v>
      </c>
      <c r="I128" s="54" t="s">
        <v>1681</v>
      </c>
      <c r="J128" s="54">
        <v>0</v>
      </c>
      <c r="K128" s="54" t="s">
        <v>1682</v>
      </c>
      <c r="L128" s="54" t="s">
        <v>601</v>
      </c>
    </row>
    <row r="129" spans="1:12">
      <c r="A129" s="54" t="s">
        <v>1685</v>
      </c>
      <c r="B129" s="54" t="s">
        <v>1687</v>
      </c>
      <c r="C129" s="59">
        <v>125.47755432128906</v>
      </c>
      <c r="D129" s="60">
        <v>45782.847997685189</v>
      </c>
      <c r="E129" s="60">
        <v>54789.541666666664</v>
      </c>
      <c r="F129" s="54" t="s">
        <v>610</v>
      </c>
      <c r="G129" s="54" t="s">
        <v>1777</v>
      </c>
      <c r="H129" s="54" t="s">
        <v>1693</v>
      </c>
      <c r="I129" s="54">
        <v>0</v>
      </c>
      <c r="J129" s="54">
        <v>0</v>
      </c>
      <c r="K129" s="54">
        <v>0</v>
      </c>
      <c r="L129" s="54" t="s">
        <v>601</v>
      </c>
    </row>
    <row r="130" spans="1:12">
      <c r="A130" s="54" t="s">
        <v>1695</v>
      </c>
      <c r="B130" s="54" t="s">
        <v>1687</v>
      </c>
      <c r="C130" s="59">
        <v>1.541485071182251</v>
      </c>
      <c r="D130" s="60">
        <v>45945.030381944445</v>
      </c>
      <c r="E130" s="60">
        <v>54789.541666666664</v>
      </c>
      <c r="F130" s="54" t="s">
        <v>610</v>
      </c>
      <c r="G130" s="54" t="s">
        <v>1774</v>
      </c>
      <c r="H130" s="54" t="s">
        <v>1699</v>
      </c>
      <c r="I130" s="54" t="s">
        <v>1700</v>
      </c>
      <c r="J130" s="54">
        <v>0</v>
      </c>
      <c r="K130" s="54">
        <v>0</v>
      </c>
      <c r="L130" s="54" t="s">
        <v>601</v>
      </c>
    </row>
    <row r="131" spans="1:12">
      <c r="A131" s="54" t="s">
        <v>1702</v>
      </c>
      <c r="B131" s="54" t="s">
        <v>1687</v>
      </c>
      <c r="C131" s="59">
        <v>77.326133728027344</v>
      </c>
      <c r="D131" s="60">
        <v>45782.849131944444</v>
      </c>
      <c r="E131" s="60">
        <v>54789.541666666664</v>
      </c>
      <c r="F131" s="54" t="s">
        <v>610</v>
      </c>
      <c r="G131" s="54" t="s">
        <v>1774</v>
      </c>
      <c r="H131" s="54" t="s">
        <v>1704</v>
      </c>
      <c r="I131" s="54">
        <v>0</v>
      </c>
      <c r="J131" s="54">
        <v>0</v>
      </c>
      <c r="K131" s="54">
        <v>0</v>
      </c>
      <c r="L131" s="54" t="s">
        <v>601</v>
      </c>
    </row>
    <row r="132" spans="1:12">
      <c r="A132" s="54" t="s">
        <v>1706</v>
      </c>
      <c r="B132" s="54" t="s">
        <v>1687</v>
      </c>
      <c r="C132" s="59">
        <v>12.855100631713867</v>
      </c>
      <c r="D132" s="60">
        <v>45782.852905092594</v>
      </c>
      <c r="E132" s="60">
        <v>54789.541666666664</v>
      </c>
      <c r="F132" s="54" t="s">
        <v>610</v>
      </c>
      <c r="G132" s="54" t="s">
        <v>1776</v>
      </c>
      <c r="H132" s="54" t="s">
        <v>1710</v>
      </c>
      <c r="I132" s="54" t="s">
        <v>1711</v>
      </c>
      <c r="J132" s="54">
        <v>0</v>
      </c>
      <c r="K132" s="54">
        <v>0</v>
      </c>
      <c r="L132" s="54" t="s">
        <v>601</v>
      </c>
    </row>
    <row r="133" spans="1:12">
      <c r="A133" s="54" t="s">
        <v>1713</v>
      </c>
      <c r="B133" s="54" t="s">
        <v>696</v>
      </c>
      <c r="C133" s="59">
        <v>0</v>
      </c>
      <c r="D133" s="60">
        <v>45929.437939814816</v>
      </c>
      <c r="E133" s="60">
        <v>54789.541666666664</v>
      </c>
      <c r="F133" s="54" t="s">
        <v>638</v>
      </c>
      <c r="G133" s="54" t="s">
        <v>1775</v>
      </c>
      <c r="H133" s="54">
        <v>0</v>
      </c>
      <c r="I133" s="54">
        <v>0</v>
      </c>
      <c r="J133" s="54">
        <v>0</v>
      </c>
      <c r="K133" s="54">
        <v>0</v>
      </c>
      <c r="L133" s="54" t="s">
        <v>615</v>
      </c>
    </row>
    <row r="134" spans="1:12">
      <c r="A134" s="54" t="s">
        <v>1716</v>
      </c>
      <c r="B134" s="54" t="s">
        <v>1718</v>
      </c>
      <c r="C134" s="59">
        <v>0</v>
      </c>
      <c r="D134" s="60">
        <v>45803.955555555556</v>
      </c>
      <c r="E134" s="60">
        <v>54789.541666666664</v>
      </c>
      <c r="F134" s="54" t="s">
        <v>1720</v>
      </c>
      <c r="G134" s="54" t="s">
        <v>1784</v>
      </c>
      <c r="H134" s="54" t="s">
        <v>1721</v>
      </c>
      <c r="I134" s="54">
        <v>0</v>
      </c>
      <c r="J134" s="54">
        <v>0</v>
      </c>
      <c r="K134" s="54" t="s">
        <v>1722</v>
      </c>
      <c r="L134" s="54" t="s">
        <v>615</v>
      </c>
    </row>
    <row r="135" spans="1:12">
      <c r="A135" s="54" t="s">
        <v>1723</v>
      </c>
      <c r="B135" s="54" t="s">
        <v>1589</v>
      </c>
      <c r="C135" s="59">
        <v>178227.3125</v>
      </c>
      <c r="D135" s="60">
        <v>45807.561643518522</v>
      </c>
      <c r="E135" s="60">
        <v>54789.541666666664</v>
      </c>
      <c r="F135" s="54" t="s">
        <v>610</v>
      </c>
      <c r="G135" s="54" t="s">
        <v>1785</v>
      </c>
      <c r="H135" s="54" t="s">
        <v>1728</v>
      </c>
      <c r="I135" s="54" t="s">
        <v>1642</v>
      </c>
      <c r="J135" s="54">
        <v>0</v>
      </c>
      <c r="K135" s="54">
        <v>0</v>
      </c>
      <c r="L135" s="54" t="s">
        <v>601</v>
      </c>
    </row>
    <row r="136" spans="1:12">
      <c r="A136" s="54" t="s">
        <v>1730</v>
      </c>
      <c r="B136" s="54" t="s">
        <v>1732</v>
      </c>
      <c r="C136" s="59">
        <v>0</v>
      </c>
      <c r="D136" s="60">
        <v>45889.420081018521</v>
      </c>
      <c r="E136" s="60">
        <v>54789.541666666664</v>
      </c>
      <c r="F136" s="54" t="s">
        <v>638</v>
      </c>
      <c r="G136" s="54" t="s">
        <v>1775</v>
      </c>
      <c r="H136" s="54">
        <v>0</v>
      </c>
      <c r="I136" s="54">
        <v>0</v>
      </c>
      <c r="J136" s="54">
        <v>0</v>
      </c>
      <c r="K136" s="54" t="s">
        <v>603</v>
      </c>
      <c r="L136" s="54" t="s">
        <v>615</v>
      </c>
    </row>
    <row r="137" spans="1:12">
      <c r="A137" s="54" t="s">
        <v>1734</v>
      </c>
      <c r="B137" s="54" t="s">
        <v>1736</v>
      </c>
      <c r="C137" s="59">
        <v>0</v>
      </c>
      <c r="D137" s="60">
        <v>45889.423680555556</v>
      </c>
      <c r="E137" s="60">
        <v>54789.541666666664</v>
      </c>
      <c r="F137" s="54" t="s">
        <v>638</v>
      </c>
      <c r="G137" s="54" t="s">
        <v>1775</v>
      </c>
      <c r="H137" s="54">
        <v>0</v>
      </c>
      <c r="I137" s="54">
        <v>0</v>
      </c>
      <c r="J137" s="54">
        <v>0</v>
      </c>
      <c r="K137" s="54" t="s">
        <v>1738</v>
      </c>
      <c r="L137" s="54" t="s">
        <v>615</v>
      </c>
    </row>
    <row r="138" spans="1:12">
      <c r="A138" s="54" t="s">
        <v>1739</v>
      </c>
      <c r="B138" s="54" t="s">
        <v>1687</v>
      </c>
      <c r="C138" s="59">
        <v>0</v>
      </c>
      <c r="D138" s="60">
        <v>45889.423055555555</v>
      </c>
      <c r="E138" s="60">
        <v>54789.541666666664</v>
      </c>
      <c r="F138" s="54" t="s">
        <v>638</v>
      </c>
      <c r="G138" s="54" t="s">
        <v>1775</v>
      </c>
      <c r="H138" s="54">
        <v>0</v>
      </c>
      <c r="I138" s="54">
        <v>0</v>
      </c>
      <c r="J138" s="54">
        <v>0</v>
      </c>
      <c r="K138" s="54" t="s">
        <v>1741</v>
      </c>
      <c r="L138" s="54" t="s">
        <v>615</v>
      </c>
    </row>
    <row r="139" spans="1:12">
      <c r="A139" s="54" t="s">
        <v>1742</v>
      </c>
      <c r="B139" s="54" t="s">
        <v>1744</v>
      </c>
      <c r="C139" s="59">
        <v>0</v>
      </c>
      <c r="D139" s="60">
        <v>45889.424340277779</v>
      </c>
      <c r="E139" s="60">
        <v>54789.541666666664</v>
      </c>
      <c r="F139" s="54" t="s">
        <v>638</v>
      </c>
      <c r="G139" s="54" t="s">
        <v>1775</v>
      </c>
      <c r="H139" s="54">
        <v>0</v>
      </c>
      <c r="I139" s="54">
        <v>0</v>
      </c>
      <c r="J139" s="54">
        <v>0</v>
      </c>
      <c r="K139" s="54">
        <v>0</v>
      </c>
      <c r="L139" s="54" t="s">
        <v>615</v>
      </c>
    </row>
    <row r="140" spans="1:12">
      <c r="A140" s="54" t="s">
        <v>1746</v>
      </c>
      <c r="B140" s="54" t="s">
        <v>1589</v>
      </c>
      <c r="C140" s="59">
        <v>0</v>
      </c>
      <c r="D140" s="60">
        <v>45889.422523148147</v>
      </c>
      <c r="E140" s="60">
        <v>54789.541666666664</v>
      </c>
      <c r="F140" s="54" t="s">
        <v>638</v>
      </c>
      <c r="G140" s="54" t="s">
        <v>1775</v>
      </c>
      <c r="H140" s="54">
        <v>0</v>
      </c>
      <c r="I140" s="54">
        <v>0</v>
      </c>
      <c r="J140" s="54">
        <v>0</v>
      </c>
      <c r="K140" s="54" t="s">
        <v>1748</v>
      </c>
      <c r="L140" s="54" t="s">
        <v>615</v>
      </c>
    </row>
  </sheetData>
  <phoneticPr fontId="14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31"/>
  <sheetViews>
    <sheetView workbookViewId="0"/>
  </sheetViews>
  <sheetFormatPr defaultColWidth="8.85546875" defaultRowHeight="12.75"/>
  <cols>
    <col min="1" max="8" width="30" customWidth="1"/>
    <col min="9" max="10" width="30" style="9" customWidth="1"/>
    <col min="11" max="17" width="30" customWidth="1"/>
    <col min="18" max="19" width="30.140625" customWidth="1"/>
  </cols>
  <sheetData>
    <row r="1" spans="1:19" s="7" customFormat="1">
      <c r="A1" s="7" t="s">
        <v>48</v>
      </c>
      <c r="B1" s="7" t="s">
        <v>529</v>
      </c>
      <c r="C1" s="7" t="s">
        <v>49</v>
      </c>
      <c r="D1" s="7" t="s">
        <v>50</v>
      </c>
      <c r="E1" s="7" t="s">
        <v>51</v>
      </c>
      <c r="F1" s="7" t="s">
        <v>187</v>
      </c>
      <c r="G1" s="7" t="s">
        <v>198</v>
      </c>
      <c r="H1" s="7" t="s">
        <v>216</v>
      </c>
      <c r="I1" s="8" t="s">
        <v>239</v>
      </c>
      <c r="J1" s="8" t="s">
        <v>282</v>
      </c>
      <c r="K1" s="7" t="s">
        <v>314</v>
      </c>
      <c r="L1" s="7" t="s">
        <v>342</v>
      </c>
      <c r="M1" s="8" t="s">
        <v>367</v>
      </c>
      <c r="N1" s="8" t="s">
        <v>368</v>
      </c>
      <c r="O1" s="7" t="s">
        <v>438</v>
      </c>
      <c r="P1" s="7" t="s">
        <v>484</v>
      </c>
      <c r="Q1" s="7" t="s">
        <v>512</v>
      </c>
      <c r="R1" s="7" t="s">
        <v>542</v>
      </c>
      <c r="S1" s="7" t="s">
        <v>572</v>
      </c>
    </row>
    <row r="2" spans="1:19">
      <c r="A2" t="s">
        <v>52</v>
      </c>
      <c r="B2" t="s">
        <v>74</v>
      </c>
      <c r="C2" t="s">
        <v>75</v>
      </c>
      <c r="D2" t="s">
        <v>76</v>
      </c>
      <c r="E2" t="s">
        <v>77</v>
      </c>
      <c r="F2" t="s">
        <v>188</v>
      </c>
      <c r="G2" t="s">
        <v>75</v>
      </c>
      <c r="H2" t="s">
        <v>217</v>
      </c>
      <c r="I2" s="9" t="s">
        <v>75</v>
      </c>
      <c r="J2" s="9" t="s">
        <v>262</v>
      </c>
      <c r="K2" t="s">
        <v>315</v>
      </c>
      <c r="L2" t="s">
        <v>343</v>
      </c>
      <c r="M2" t="s">
        <v>369</v>
      </c>
      <c r="N2" t="s">
        <v>370</v>
      </c>
      <c r="O2" t="s">
        <v>439</v>
      </c>
      <c r="P2" t="s">
        <v>485</v>
      </c>
      <c r="Q2" t="s">
        <v>513</v>
      </c>
      <c r="R2" t="s">
        <v>543</v>
      </c>
      <c r="S2" t="s">
        <v>573</v>
      </c>
    </row>
    <row r="3" spans="1:19">
      <c r="A3" t="s">
        <v>161</v>
      </c>
      <c r="B3" t="s">
        <v>163</v>
      </c>
      <c r="C3" t="s">
        <v>164</v>
      </c>
      <c r="D3" t="s">
        <v>165</v>
      </c>
      <c r="E3" t="s">
        <v>166</v>
      </c>
      <c r="F3" t="s">
        <v>189</v>
      </c>
      <c r="G3" t="s">
        <v>199</v>
      </c>
      <c r="H3" t="s">
        <v>218</v>
      </c>
      <c r="I3" s="9" t="s">
        <v>199</v>
      </c>
      <c r="J3" s="9" t="s">
        <v>263</v>
      </c>
      <c r="K3" t="s">
        <v>316</v>
      </c>
      <c r="L3" t="s">
        <v>344</v>
      </c>
      <c r="M3" t="s">
        <v>371</v>
      </c>
      <c r="N3" t="s">
        <v>372</v>
      </c>
      <c r="O3" t="s">
        <v>440</v>
      </c>
      <c r="P3" t="s">
        <v>486</v>
      </c>
      <c r="Q3" t="s">
        <v>163</v>
      </c>
      <c r="R3" t="s">
        <v>544</v>
      </c>
      <c r="S3" t="s">
        <v>263</v>
      </c>
    </row>
    <row r="4" spans="1:19">
      <c r="A4" t="s">
        <v>162</v>
      </c>
      <c r="B4" t="s">
        <v>167</v>
      </c>
      <c r="C4" t="s">
        <v>168</v>
      </c>
      <c r="D4" t="s">
        <v>169</v>
      </c>
      <c r="E4" t="s">
        <v>170</v>
      </c>
      <c r="F4" t="s">
        <v>173</v>
      </c>
      <c r="G4" t="s">
        <v>200</v>
      </c>
      <c r="H4" t="s">
        <v>219</v>
      </c>
      <c r="I4" s="9" t="s">
        <v>244</v>
      </c>
      <c r="J4" s="9" t="s">
        <v>264</v>
      </c>
      <c r="K4" t="s">
        <v>317</v>
      </c>
      <c r="L4" t="s">
        <v>345</v>
      </c>
      <c r="M4" t="s">
        <v>373</v>
      </c>
      <c r="N4" t="s">
        <v>374</v>
      </c>
      <c r="O4" t="s">
        <v>441</v>
      </c>
      <c r="P4" t="s">
        <v>487</v>
      </c>
      <c r="Q4" t="s">
        <v>167</v>
      </c>
      <c r="R4" t="s">
        <v>545</v>
      </c>
      <c r="S4" t="s">
        <v>264</v>
      </c>
    </row>
    <row r="5" spans="1:19">
      <c r="A5" t="s">
        <v>53</v>
      </c>
      <c r="B5" t="s">
        <v>78</v>
      </c>
      <c r="C5" t="s">
        <v>79</v>
      </c>
      <c r="D5" t="s">
        <v>80</v>
      </c>
      <c r="E5" t="s">
        <v>81</v>
      </c>
      <c r="F5" t="s">
        <v>190</v>
      </c>
      <c r="G5" t="s">
        <v>201</v>
      </c>
      <c r="H5" t="s">
        <v>220</v>
      </c>
      <c r="I5" s="9" t="s">
        <v>245</v>
      </c>
      <c r="J5" s="9" t="s">
        <v>265</v>
      </c>
      <c r="K5" t="s">
        <v>318</v>
      </c>
      <c r="L5" t="s">
        <v>346</v>
      </c>
      <c r="M5" t="s">
        <v>375</v>
      </c>
      <c r="N5" t="s">
        <v>376</v>
      </c>
      <c r="O5" t="s">
        <v>442</v>
      </c>
      <c r="P5" t="s">
        <v>488</v>
      </c>
      <c r="Q5" t="s">
        <v>514</v>
      </c>
      <c r="R5" t="s">
        <v>546</v>
      </c>
      <c r="S5" t="s">
        <v>574</v>
      </c>
    </row>
    <row r="6" spans="1:19">
      <c r="A6" t="s">
        <v>54</v>
      </c>
      <c r="B6" t="s">
        <v>82</v>
      </c>
      <c r="C6" t="s">
        <v>83</v>
      </c>
      <c r="D6" t="s">
        <v>84</v>
      </c>
      <c r="E6" t="s">
        <v>85</v>
      </c>
      <c r="F6" t="s">
        <v>174</v>
      </c>
      <c r="G6" t="s">
        <v>207</v>
      </c>
      <c r="H6" t="s">
        <v>221</v>
      </c>
      <c r="I6" s="9" t="s">
        <v>246</v>
      </c>
      <c r="J6" s="9" t="s">
        <v>266</v>
      </c>
      <c r="K6" t="s">
        <v>319</v>
      </c>
      <c r="L6" t="s">
        <v>347</v>
      </c>
      <c r="M6" t="s">
        <v>377</v>
      </c>
      <c r="N6" t="s">
        <v>378</v>
      </c>
      <c r="O6" t="s">
        <v>443</v>
      </c>
      <c r="P6" t="s">
        <v>489</v>
      </c>
      <c r="Q6" t="s">
        <v>515</v>
      </c>
      <c r="R6" t="s">
        <v>547</v>
      </c>
      <c r="S6" t="s">
        <v>575</v>
      </c>
    </row>
    <row r="7" spans="1:19">
      <c r="A7" t="s">
        <v>55</v>
      </c>
      <c r="B7" t="s">
        <v>86</v>
      </c>
      <c r="C7" t="s">
        <v>87</v>
      </c>
      <c r="D7" t="s">
        <v>88</v>
      </c>
      <c r="E7" t="s">
        <v>197</v>
      </c>
      <c r="F7" t="s">
        <v>191</v>
      </c>
      <c r="G7" t="s">
        <v>208</v>
      </c>
      <c r="H7" t="s">
        <v>222</v>
      </c>
      <c r="I7" s="9" t="s">
        <v>247</v>
      </c>
      <c r="J7" s="9" t="s">
        <v>267</v>
      </c>
      <c r="K7" t="s">
        <v>320</v>
      </c>
      <c r="L7" t="s">
        <v>348</v>
      </c>
      <c r="M7" t="s">
        <v>379</v>
      </c>
      <c r="N7" t="s">
        <v>380</v>
      </c>
      <c r="O7" t="s">
        <v>444</v>
      </c>
      <c r="P7" t="s">
        <v>490</v>
      </c>
      <c r="Q7" t="s">
        <v>86</v>
      </c>
      <c r="R7" t="s">
        <v>548</v>
      </c>
      <c r="S7" t="s">
        <v>576</v>
      </c>
    </row>
    <row r="8" spans="1:19">
      <c r="A8" t="s">
        <v>56</v>
      </c>
      <c r="B8" t="s">
        <v>89</v>
      </c>
      <c r="C8" t="s">
        <v>90</v>
      </c>
      <c r="D8" t="s">
        <v>91</v>
      </c>
      <c r="E8" t="s">
        <v>92</v>
      </c>
      <c r="F8" t="s">
        <v>175</v>
      </c>
      <c r="G8" t="s">
        <v>209</v>
      </c>
      <c r="H8" t="s">
        <v>223</v>
      </c>
      <c r="I8" s="9" t="s">
        <v>248</v>
      </c>
      <c r="J8" s="9" t="s">
        <v>268</v>
      </c>
      <c r="K8" t="s">
        <v>321</v>
      </c>
      <c r="L8" t="s">
        <v>424</v>
      </c>
      <c r="M8" t="s">
        <v>381</v>
      </c>
      <c r="N8" t="s">
        <v>382</v>
      </c>
      <c r="O8" t="s">
        <v>445</v>
      </c>
      <c r="P8" t="s">
        <v>491</v>
      </c>
      <c r="Q8" t="s">
        <v>89</v>
      </c>
      <c r="R8" t="s">
        <v>549</v>
      </c>
      <c r="S8" t="s">
        <v>577</v>
      </c>
    </row>
    <row r="9" spans="1:19">
      <c r="A9" t="s">
        <v>57</v>
      </c>
      <c r="B9" t="s">
        <v>93</v>
      </c>
      <c r="C9" t="s">
        <v>94</v>
      </c>
      <c r="D9" t="s">
        <v>95</v>
      </c>
      <c r="E9" t="s">
        <v>96</v>
      </c>
      <c r="F9" t="s">
        <v>176</v>
      </c>
      <c r="G9" t="s">
        <v>210</v>
      </c>
      <c r="H9" t="s">
        <v>224</v>
      </c>
      <c r="I9" s="9" t="s">
        <v>249</v>
      </c>
      <c r="J9" s="9" t="s">
        <v>269</v>
      </c>
      <c r="K9" t="s">
        <v>322</v>
      </c>
      <c r="L9" t="s">
        <v>425</v>
      </c>
      <c r="M9" t="s">
        <v>383</v>
      </c>
      <c r="N9" t="s">
        <v>384</v>
      </c>
      <c r="O9" t="s">
        <v>446</v>
      </c>
      <c r="P9" t="s">
        <v>492</v>
      </c>
      <c r="Q9" t="s">
        <v>516</v>
      </c>
      <c r="R9" t="s">
        <v>550</v>
      </c>
      <c r="S9" t="s">
        <v>578</v>
      </c>
    </row>
    <row r="10" spans="1:19">
      <c r="A10" t="s">
        <v>58</v>
      </c>
      <c r="B10" t="s">
        <v>97</v>
      </c>
      <c r="C10" t="s">
        <v>98</v>
      </c>
      <c r="D10" t="s">
        <v>99</v>
      </c>
      <c r="E10" t="s">
        <v>100</v>
      </c>
      <c r="F10" t="s">
        <v>177</v>
      </c>
      <c r="G10" t="s">
        <v>288</v>
      </c>
      <c r="H10" t="s">
        <v>225</v>
      </c>
      <c r="I10" s="9" t="s">
        <v>240</v>
      </c>
      <c r="J10" s="9" t="s">
        <v>283</v>
      </c>
      <c r="K10" t="s">
        <v>323</v>
      </c>
      <c r="L10" t="s">
        <v>349</v>
      </c>
      <c r="M10" t="s">
        <v>385</v>
      </c>
      <c r="N10" t="s">
        <v>386</v>
      </c>
      <c r="O10" t="s">
        <v>447</v>
      </c>
      <c r="P10" t="s">
        <v>493</v>
      </c>
      <c r="Q10" t="s">
        <v>97</v>
      </c>
      <c r="R10" t="s">
        <v>551</v>
      </c>
      <c r="S10" t="s">
        <v>579</v>
      </c>
    </row>
    <row r="11" spans="1:19">
      <c r="A11" t="s">
        <v>59</v>
      </c>
      <c r="B11" t="s">
        <v>101</v>
      </c>
      <c r="C11" t="s">
        <v>102</v>
      </c>
      <c r="D11" t="s">
        <v>103</v>
      </c>
      <c r="E11" t="s">
        <v>104</v>
      </c>
      <c r="F11" t="s">
        <v>192</v>
      </c>
      <c r="G11" t="s">
        <v>211</v>
      </c>
      <c r="H11" t="s">
        <v>226</v>
      </c>
      <c r="I11" s="9" t="s">
        <v>250</v>
      </c>
      <c r="J11" s="9" t="s">
        <v>270</v>
      </c>
      <c r="K11" t="s">
        <v>324</v>
      </c>
      <c r="L11" t="s">
        <v>350</v>
      </c>
      <c r="M11" t="s">
        <v>387</v>
      </c>
      <c r="N11" t="s">
        <v>388</v>
      </c>
      <c r="O11" t="s">
        <v>448</v>
      </c>
      <c r="P11" t="s">
        <v>494</v>
      </c>
      <c r="Q11" t="s">
        <v>517</v>
      </c>
      <c r="R11" t="s">
        <v>552</v>
      </c>
      <c r="S11" t="s">
        <v>580</v>
      </c>
    </row>
    <row r="12" spans="1:19">
      <c r="A12" t="s">
        <v>71</v>
      </c>
      <c r="B12" t="s">
        <v>105</v>
      </c>
      <c r="C12" t="s">
        <v>106</v>
      </c>
      <c r="D12" t="s">
        <v>107</v>
      </c>
      <c r="E12" t="s">
        <v>108</v>
      </c>
      <c r="F12" t="s">
        <v>178</v>
      </c>
      <c r="G12" t="s">
        <v>437</v>
      </c>
      <c r="H12" t="s">
        <v>227</v>
      </c>
      <c r="I12" s="9" t="s">
        <v>251</v>
      </c>
      <c r="J12" s="9" t="s">
        <v>271</v>
      </c>
      <c r="K12" t="s">
        <v>325</v>
      </c>
      <c r="L12" t="s">
        <v>351</v>
      </c>
      <c r="M12" t="s">
        <v>389</v>
      </c>
      <c r="N12" t="s">
        <v>390</v>
      </c>
      <c r="O12" t="s">
        <v>449</v>
      </c>
      <c r="P12" t="s">
        <v>351</v>
      </c>
      <c r="Q12" t="s">
        <v>105</v>
      </c>
      <c r="R12" t="s">
        <v>553</v>
      </c>
      <c r="S12" t="s">
        <v>581</v>
      </c>
    </row>
    <row r="13" spans="1:19">
      <c r="A13" t="s">
        <v>72</v>
      </c>
      <c r="B13" t="s">
        <v>109</v>
      </c>
      <c r="C13" t="s">
        <v>110</v>
      </c>
      <c r="D13" t="s">
        <v>111</v>
      </c>
      <c r="E13" t="s">
        <v>112</v>
      </c>
      <c r="F13" t="s">
        <v>179</v>
      </c>
      <c r="G13" t="s">
        <v>436</v>
      </c>
      <c r="H13" t="s">
        <v>228</v>
      </c>
      <c r="I13" s="9" t="s">
        <v>252</v>
      </c>
      <c r="J13" s="9" t="s">
        <v>272</v>
      </c>
      <c r="K13" t="s">
        <v>326</v>
      </c>
      <c r="L13" t="s">
        <v>352</v>
      </c>
      <c r="M13" t="s">
        <v>391</v>
      </c>
      <c r="N13" t="s">
        <v>392</v>
      </c>
      <c r="O13" t="s">
        <v>450</v>
      </c>
      <c r="P13" t="s">
        <v>495</v>
      </c>
      <c r="Q13" t="s">
        <v>109</v>
      </c>
      <c r="R13" t="s">
        <v>554</v>
      </c>
      <c r="S13" t="s">
        <v>582</v>
      </c>
    </row>
    <row r="14" spans="1:19">
      <c r="A14" t="s">
        <v>300</v>
      </c>
      <c r="B14" t="s">
        <v>301</v>
      </c>
      <c r="C14" t="s">
        <v>302</v>
      </c>
      <c r="D14" t="s">
        <v>303</v>
      </c>
      <c r="E14" t="s">
        <v>304</v>
      </c>
      <c r="F14" t="s">
        <v>305</v>
      </c>
      <c r="G14" t="s">
        <v>306</v>
      </c>
      <c r="H14" s="9" t="s">
        <v>307</v>
      </c>
      <c r="I14" s="9" t="s">
        <v>308</v>
      </c>
      <c r="J14" s="9" t="s">
        <v>309</v>
      </c>
      <c r="K14" t="s">
        <v>327</v>
      </c>
      <c r="L14" t="s">
        <v>353</v>
      </c>
      <c r="M14" t="s">
        <v>393</v>
      </c>
      <c r="N14" t="s">
        <v>394</v>
      </c>
      <c r="O14" t="s">
        <v>451</v>
      </c>
      <c r="P14" t="s">
        <v>496</v>
      </c>
      <c r="Q14" t="s">
        <v>301</v>
      </c>
      <c r="R14" t="s">
        <v>555</v>
      </c>
      <c r="S14" t="s">
        <v>583</v>
      </c>
    </row>
    <row r="15" spans="1:19">
      <c r="A15" t="s">
        <v>60</v>
      </c>
      <c r="B15" t="s">
        <v>113</v>
      </c>
      <c r="C15" t="s">
        <v>114</v>
      </c>
      <c r="D15" t="s">
        <v>115</v>
      </c>
      <c r="E15" t="s">
        <v>116</v>
      </c>
      <c r="F15" t="s">
        <v>180</v>
      </c>
      <c r="G15" t="s">
        <v>114</v>
      </c>
      <c r="H15" t="s">
        <v>229</v>
      </c>
      <c r="I15" s="9" t="s">
        <v>241</v>
      </c>
      <c r="J15" s="9" t="s">
        <v>284</v>
      </c>
      <c r="K15" t="s">
        <v>328</v>
      </c>
      <c r="L15" t="s">
        <v>354</v>
      </c>
      <c r="M15" t="s">
        <v>395</v>
      </c>
      <c r="N15" t="s">
        <v>396</v>
      </c>
      <c r="O15" t="s">
        <v>452</v>
      </c>
      <c r="P15" t="s">
        <v>497</v>
      </c>
      <c r="Q15" t="s">
        <v>518</v>
      </c>
      <c r="R15" t="s">
        <v>556</v>
      </c>
      <c r="S15" t="s">
        <v>584</v>
      </c>
    </row>
    <row r="16" spans="1:19">
      <c r="A16" t="s">
        <v>61</v>
      </c>
      <c r="B16" t="s">
        <v>117</v>
      </c>
      <c r="C16" t="s">
        <v>118</v>
      </c>
      <c r="D16" t="s">
        <v>119</v>
      </c>
      <c r="E16" t="s">
        <v>120</v>
      </c>
      <c r="F16" t="s">
        <v>193</v>
      </c>
      <c r="G16" t="s">
        <v>202</v>
      </c>
      <c r="H16" t="s">
        <v>230</v>
      </c>
      <c r="I16" s="9" t="s">
        <v>253</v>
      </c>
      <c r="J16" s="9" t="s">
        <v>273</v>
      </c>
      <c r="K16" t="s">
        <v>329</v>
      </c>
      <c r="L16" t="s">
        <v>355</v>
      </c>
      <c r="M16" t="s">
        <v>397</v>
      </c>
      <c r="N16" t="s">
        <v>398</v>
      </c>
      <c r="O16" t="s">
        <v>453</v>
      </c>
      <c r="P16" t="s">
        <v>498</v>
      </c>
      <c r="Q16" t="s">
        <v>519</v>
      </c>
      <c r="R16" t="s">
        <v>557</v>
      </c>
      <c r="S16" t="s">
        <v>585</v>
      </c>
    </row>
    <row r="17" spans="1:19">
      <c r="A17" t="s">
        <v>62</v>
      </c>
      <c r="B17" t="s">
        <v>121</v>
      </c>
      <c r="C17" t="s">
        <v>122</v>
      </c>
      <c r="D17" t="s">
        <v>123</v>
      </c>
      <c r="E17" t="s">
        <v>124</v>
      </c>
      <c r="F17" t="s">
        <v>181</v>
      </c>
      <c r="G17" t="s">
        <v>212</v>
      </c>
      <c r="H17" t="s">
        <v>231</v>
      </c>
      <c r="I17" s="9" t="s">
        <v>254</v>
      </c>
      <c r="J17" s="9" t="s">
        <v>274</v>
      </c>
      <c r="K17" t="s">
        <v>330</v>
      </c>
      <c r="L17" t="s">
        <v>356</v>
      </c>
      <c r="M17" t="s">
        <v>399</v>
      </c>
      <c r="N17" t="s">
        <v>400</v>
      </c>
      <c r="O17" t="s">
        <v>454</v>
      </c>
      <c r="P17" t="s">
        <v>499</v>
      </c>
      <c r="Q17" t="s">
        <v>520</v>
      </c>
      <c r="R17" t="s">
        <v>558</v>
      </c>
      <c r="S17" t="s">
        <v>586</v>
      </c>
    </row>
    <row r="18" spans="1:19">
      <c r="A18" t="s">
        <v>63</v>
      </c>
      <c r="B18" t="s">
        <v>125</v>
      </c>
      <c r="C18" t="s">
        <v>126</v>
      </c>
      <c r="D18" t="s">
        <v>127</v>
      </c>
      <c r="E18" t="s">
        <v>128</v>
      </c>
      <c r="F18" t="s">
        <v>182</v>
      </c>
      <c r="G18" t="s">
        <v>126</v>
      </c>
      <c r="H18" t="s">
        <v>232</v>
      </c>
      <c r="I18" s="9" t="s">
        <v>255</v>
      </c>
      <c r="J18" s="9" t="s">
        <v>275</v>
      </c>
      <c r="K18" t="s">
        <v>331</v>
      </c>
      <c r="L18" t="s">
        <v>357</v>
      </c>
      <c r="M18" t="s">
        <v>401</v>
      </c>
      <c r="N18" t="s">
        <v>402</v>
      </c>
      <c r="O18" t="s">
        <v>455</v>
      </c>
      <c r="P18" t="s">
        <v>500</v>
      </c>
      <c r="Q18" t="s">
        <v>521</v>
      </c>
      <c r="R18" t="s">
        <v>559</v>
      </c>
      <c r="S18" t="s">
        <v>587</v>
      </c>
    </row>
    <row r="19" spans="1:19">
      <c r="A19" t="s">
        <v>73</v>
      </c>
      <c r="B19" t="s">
        <v>129</v>
      </c>
      <c r="C19" t="s">
        <v>130</v>
      </c>
      <c r="D19" t="s">
        <v>131</v>
      </c>
      <c r="E19" t="s">
        <v>132</v>
      </c>
      <c r="F19" t="s">
        <v>194</v>
      </c>
      <c r="G19" t="s">
        <v>203</v>
      </c>
      <c r="H19" t="s">
        <v>233</v>
      </c>
      <c r="I19" s="9" t="s">
        <v>242</v>
      </c>
      <c r="J19" s="9" t="s">
        <v>276</v>
      </c>
      <c r="K19" t="s">
        <v>332</v>
      </c>
      <c r="L19" t="s">
        <v>358</v>
      </c>
      <c r="M19" t="s">
        <v>403</v>
      </c>
      <c r="N19" t="s">
        <v>404</v>
      </c>
      <c r="O19" t="s">
        <v>456</v>
      </c>
      <c r="P19" t="s">
        <v>501</v>
      </c>
      <c r="Q19" t="s">
        <v>522</v>
      </c>
      <c r="R19" t="s">
        <v>560</v>
      </c>
      <c r="S19" t="s">
        <v>588</v>
      </c>
    </row>
    <row r="20" spans="1:19">
      <c r="A20" t="s">
        <v>64</v>
      </c>
      <c r="B20" t="s">
        <v>133</v>
      </c>
      <c r="C20" t="s">
        <v>0</v>
      </c>
      <c r="D20" t="s">
        <v>134</v>
      </c>
      <c r="E20" t="s">
        <v>0</v>
      </c>
      <c r="F20" t="s">
        <v>0</v>
      </c>
      <c r="G20" t="s">
        <v>0</v>
      </c>
      <c r="H20" t="s">
        <v>0</v>
      </c>
      <c r="I20" s="9" t="s">
        <v>0</v>
      </c>
      <c r="J20" s="9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457</v>
      </c>
      <c r="P20" t="s">
        <v>0</v>
      </c>
      <c r="Q20" t="s">
        <v>0</v>
      </c>
      <c r="R20" t="s">
        <v>0</v>
      </c>
      <c r="S20" t="s">
        <v>0</v>
      </c>
    </row>
    <row r="21" spans="1:19">
      <c r="A21" t="s">
        <v>65</v>
      </c>
      <c r="B21" t="s">
        <v>135</v>
      </c>
      <c r="C21" t="s">
        <v>136</v>
      </c>
      <c r="D21" t="s">
        <v>137</v>
      </c>
      <c r="E21" t="s">
        <v>138</v>
      </c>
      <c r="F21" t="s">
        <v>183</v>
      </c>
      <c r="G21" t="s">
        <v>204</v>
      </c>
      <c r="H21" t="s">
        <v>234</v>
      </c>
      <c r="I21" s="9" t="s">
        <v>243</v>
      </c>
      <c r="J21" s="9" t="s">
        <v>285</v>
      </c>
      <c r="K21" t="s">
        <v>333</v>
      </c>
      <c r="L21" t="s">
        <v>359</v>
      </c>
      <c r="M21" t="s">
        <v>405</v>
      </c>
      <c r="N21" t="s">
        <v>406</v>
      </c>
      <c r="O21" t="s">
        <v>458</v>
      </c>
      <c r="P21" t="s">
        <v>502</v>
      </c>
      <c r="Q21" t="s">
        <v>135</v>
      </c>
      <c r="R21" t="s">
        <v>561</v>
      </c>
      <c r="S21" t="s">
        <v>589</v>
      </c>
    </row>
    <row r="22" spans="1:19">
      <c r="A22" t="s">
        <v>66</v>
      </c>
      <c r="B22" t="s">
        <v>139</v>
      </c>
      <c r="C22" t="s">
        <v>140</v>
      </c>
      <c r="D22" t="s">
        <v>141</v>
      </c>
      <c r="E22" t="s">
        <v>142</v>
      </c>
      <c r="F22" t="s">
        <v>195</v>
      </c>
      <c r="G22" t="s">
        <v>205</v>
      </c>
      <c r="H22" t="s">
        <v>235</v>
      </c>
      <c r="I22" s="9" t="s">
        <v>256</v>
      </c>
      <c r="J22" s="9" t="s">
        <v>277</v>
      </c>
      <c r="K22" t="s">
        <v>334</v>
      </c>
      <c r="L22" t="s">
        <v>360</v>
      </c>
      <c r="M22" t="s">
        <v>407</v>
      </c>
      <c r="N22" t="s">
        <v>408</v>
      </c>
      <c r="O22" t="s">
        <v>459</v>
      </c>
      <c r="P22" t="s">
        <v>503</v>
      </c>
      <c r="Q22" t="s">
        <v>523</v>
      </c>
      <c r="R22" t="s">
        <v>562</v>
      </c>
      <c r="S22" t="s">
        <v>590</v>
      </c>
    </row>
    <row r="23" spans="1:19">
      <c r="A23" t="s">
        <v>67</v>
      </c>
      <c r="B23" t="s">
        <v>143</v>
      </c>
      <c r="C23" t="s">
        <v>144</v>
      </c>
      <c r="D23" t="s">
        <v>145</v>
      </c>
      <c r="E23" t="s">
        <v>146</v>
      </c>
      <c r="F23" t="s">
        <v>184</v>
      </c>
      <c r="G23" t="s">
        <v>213</v>
      </c>
      <c r="H23" t="s">
        <v>145</v>
      </c>
      <c r="I23" s="9" t="s">
        <v>257</v>
      </c>
      <c r="J23" s="9" t="s">
        <v>278</v>
      </c>
      <c r="K23" t="s">
        <v>335</v>
      </c>
      <c r="L23" t="s">
        <v>361</v>
      </c>
      <c r="M23" t="s">
        <v>409</v>
      </c>
      <c r="N23" t="s">
        <v>410</v>
      </c>
      <c r="O23" t="s">
        <v>460</v>
      </c>
      <c r="P23" t="s">
        <v>504</v>
      </c>
      <c r="Q23" t="s">
        <v>143</v>
      </c>
      <c r="R23" t="s">
        <v>563</v>
      </c>
      <c r="S23" t="s">
        <v>591</v>
      </c>
    </row>
    <row r="24" spans="1:19">
      <c r="A24" t="s">
        <v>68</v>
      </c>
      <c r="B24" t="s">
        <v>147</v>
      </c>
      <c r="C24" t="s">
        <v>148</v>
      </c>
      <c r="D24" t="s">
        <v>149</v>
      </c>
      <c r="E24" t="s">
        <v>150</v>
      </c>
      <c r="F24" t="s">
        <v>185</v>
      </c>
      <c r="G24" t="s">
        <v>214</v>
      </c>
      <c r="H24" t="s">
        <v>236</v>
      </c>
      <c r="I24" s="9" t="s">
        <v>258</v>
      </c>
      <c r="J24" s="9" t="s">
        <v>279</v>
      </c>
      <c r="K24" t="s">
        <v>336</v>
      </c>
      <c r="L24" t="s">
        <v>362</v>
      </c>
      <c r="M24" t="s">
        <v>411</v>
      </c>
      <c r="N24" t="s">
        <v>412</v>
      </c>
      <c r="O24" t="s">
        <v>461</v>
      </c>
      <c r="P24" t="s">
        <v>505</v>
      </c>
      <c r="Q24" t="s">
        <v>147</v>
      </c>
      <c r="R24" t="s">
        <v>564</v>
      </c>
      <c r="S24" t="s">
        <v>592</v>
      </c>
    </row>
    <row r="25" spans="1:19" s="53" customFormat="1">
      <c r="A25" s="52" t="s">
        <v>468</v>
      </c>
      <c r="B25" s="53" t="s">
        <v>470</v>
      </c>
      <c r="C25" s="53" t="s">
        <v>471</v>
      </c>
      <c r="D25" s="53" t="s">
        <v>472</v>
      </c>
      <c r="E25" s="53" t="s">
        <v>473</v>
      </c>
      <c r="F25" s="52" t="s">
        <v>474</v>
      </c>
      <c r="G25" s="52" t="s">
        <v>475</v>
      </c>
      <c r="H25" s="52" t="s">
        <v>476</v>
      </c>
      <c r="I25" s="52" t="s">
        <v>477</v>
      </c>
      <c r="J25" s="53" t="s">
        <v>478</v>
      </c>
      <c r="K25" s="53" t="s">
        <v>479</v>
      </c>
      <c r="L25" s="53" t="s">
        <v>480</v>
      </c>
      <c r="M25" s="53" t="s">
        <v>481</v>
      </c>
      <c r="N25" s="53" t="s">
        <v>482</v>
      </c>
      <c r="O25" s="53" t="s">
        <v>483</v>
      </c>
      <c r="P25" s="53" t="s">
        <v>506</v>
      </c>
      <c r="Q25" s="53" t="s">
        <v>470</v>
      </c>
      <c r="R25" s="53" t="s">
        <v>565</v>
      </c>
      <c r="S25" s="53" t="s">
        <v>593</v>
      </c>
    </row>
    <row r="26" spans="1:19">
      <c r="A26" t="s">
        <v>69</v>
      </c>
      <c r="B26" t="s">
        <v>151</v>
      </c>
      <c r="C26" t="s">
        <v>152</v>
      </c>
      <c r="D26" t="s">
        <v>153</v>
      </c>
      <c r="E26" t="s">
        <v>154</v>
      </c>
      <c r="F26" t="s">
        <v>186</v>
      </c>
      <c r="G26" t="s">
        <v>206</v>
      </c>
      <c r="H26" t="s">
        <v>237</v>
      </c>
      <c r="I26" s="9" t="s">
        <v>366</v>
      </c>
      <c r="J26" s="9" t="s">
        <v>286</v>
      </c>
      <c r="K26" t="s">
        <v>337</v>
      </c>
      <c r="L26" t="s">
        <v>363</v>
      </c>
      <c r="M26" t="s">
        <v>413</v>
      </c>
      <c r="N26" t="s">
        <v>414</v>
      </c>
      <c r="O26" t="s">
        <v>462</v>
      </c>
      <c r="P26" t="s">
        <v>507</v>
      </c>
      <c r="Q26" t="s">
        <v>524</v>
      </c>
      <c r="R26" t="s">
        <v>566</v>
      </c>
      <c r="S26" t="s">
        <v>594</v>
      </c>
    </row>
    <row r="27" spans="1:19">
      <c r="A27" t="s">
        <v>70</v>
      </c>
      <c r="B27" t="s">
        <v>155</v>
      </c>
      <c r="C27" t="s">
        <v>156</v>
      </c>
      <c r="D27" t="s">
        <v>157</v>
      </c>
      <c r="E27" t="s">
        <v>158</v>
      </c>
      <c r="F27" t="s">
        <v>196</v>
      </c>
      <c r="G27" t="s">
        <v>215</v>
      </c>
      <c r="H27" t="s">
        <v>238</v>
      </c>
      <c r="I27" s="9" t="s">
        <v>259</v>
      </c>
      <c r="J27" s="9" t="s">
        <v>280</v>
      </c>
      <c r="K27" t="s">
        <v>338</v>
      </c>
      <c r="L27" t="s">
        <v>364</v>
      </c>
      <c r="M27" t="s">
        <v>415</v>
      </c>
      <c r="N27" t="s">
        <v>416</v>
      </c>
      <c r="O27" t="s">
        <v>463</v>
      </c>
      <c r="P27" t="s">
        <v>508</v>
      </c>
      <c r="Q27" t="s">
        <v>155</v>
      </c>
      <c r="R27" t="s">
        <v>567</v>
      </c>
      <c r="S27" t="s">
        <v>595</v>
      </c>
    </row>
    <row r="28" spans="1:19">
      <c r="A28" t="s">
        <v>261</v>
      </c>
      <c r="B28" s="9" t="s">
        <v>281</v>
      </c>
      <c r="C28" s="9" t="s">
        <v>281</v>
      </c>
      <c r="D28" s="9" t="s">
        <v>281</v>
      </c>
      <c r="E28" s="9" t="s">
        <v>281</v>
      </c>
      <c r="F28" s="9" t="s">
        <v>281</v>
      </c>
      <c r="G28" s="9" t="s">
        <v>281</v>
      </c>
      <c r="H28" s="9" t="s">
        <v>281</v>
      </c>
      <c r="I28" s="9" t="s">
        <v>281</v>
      </c>
      <c r="J28" s="9" t="s">
        <v>287</v>
      </c>
      <c r="K28" t="s">
        <v>339</v>
      </c>
      <c r="L28" t="s">
        <v>281</v>
      </c>
      <c r="M28" t="s">
        <v>417</v>
      </c>
      <c r="N28" t="s">
        <v>418</v>
      </c>
      <c r="O28" t="s">
        <v>464</v>
      </c>
      <c r="P28" t="s">
        <v>509</v>
      </c>
      <c r="Q28" t="s">
        <v>525</v>
      </c>
      <c r="R28" t="s">
        <v>568</v>
      </c>
      <c r="S28" t="s">
        <v>596</v>
      </c>
    </row>
    <row r="29" spans="1:19">
      <c r="A29" t="s">
        <v>299</v>
      </c>
      <c r="B29" t="s">
        <v>290</v>
      </c>
      <c r="C29" t="s">
        <v>291</v>
      </c>
      <c r="D29" t="s">
        <v>293</v>
      </c>
      <c r="E29" t="s">
        <v>292</v>
      </c>
      <c r="F29" t="s">
        <v>294</v>
      </c>
      <c r="G29" t="s">
        <v>295</v>
      </c>
      <c r="H29" t="s">
        <v>296</v>
      </c>
      <c r="I29" s="9" t="s">
        <v>297</v>
      </c>
      <c r="J29" s="9" t="s">
        <v>298</v>
      </c>
      <c r="K29" t="s">
        <v>340</v>
      </c>
      <c r="L29" t="s">
        <v>365</v>
      </c>
      <c r="M29" t="s">
        <v>419</v>
      </c>
      <c r="N29" t="s">
        <v>420</v>
      </c>
      <c r="O29" t="s">
        <v>465</v>
      </c>
      <c r="P29" t="s">
        <v>365</v>
      </c>
      <c r="Q29" t="s">
        <v>526</v>
      </c>
      <c r="R29" t="s">
        <v>569</v>
      </c>
      <c r="S29" t="s">
        <v>597</v>
      </c>
    </row>
    <row r="30" spans="1:19">
      <c r="A30" t="s">
        <v>311</v>
      </c>
      <c r="B30" t="s">
        <v>527</v>
      </c>
      <c r="C30" t="s">
        <v>530</v>
      </c>
      <c r="D30" t="s">
        <v>532</v>
      </c>
      <c r="E30" t="s">
        <v>531</v>
      </c>
      <c r="F30" t="s">
        <v>533</v>
      </c>
      <c r="G30" t="s">
        <v>534</v>
      </c>
      <c r="H30" t="s">
        <v>535</v>
      </c>
      <c r="I30" s="9" t="s">
        <v>536</v>
      </c>
      <c r="J30" s="9" t="s">
        <v>537</v>
      </c>
      <c r="K30" t="s">
        <v>341</v>
      </c>
      <c r="L30" t="s">
        <v>538</v>
      </c>
      <c r="M30" t="s">
        <v>539</v>
      </c>
      <c r="N30" t="s">
        <v>421</v>
      </c>
      <c r="O30" t="s">
        <v>466</v>
      </c>
      <c r="P30" t="s">
        <v>510</v>
      </c>
      <c r="Q30" t="s">
        <v>527</v>
      </c>
      <c r="R30" t="s">
        <v>570</v>
      </c>
      <c r="S30" t="s">
        <v>598</v>
      </c>
    </row>
    <row r="31" spans="1:19">
      <c r="A31" t="s">
        <v>423</v>
      </c>
      <c r="B31" t="s">
        <v>427</v>
      </c>
      <c r="C31" t="s">
        <v>428</v>
      </c>
      <c r="D31" t="s">
        <v>428</v>
      </c>
      <c r="E31" t="s">
        <v>429</v>
      </c>
      <c r="F31" t="s">
        <v>428</v>
      </c>
      <c r="G31" t="s">
        <v>430</v>
      </c>
      <c r="H31" t="s">
        <v>428</v>
      </c>
      <c r="I31" t="s">
        <v>431</v>
      </c>
      <c r="J31" t="s">
        <v>432</v>
      </c>
      <c r="K31" t="s">
        <v>433</v>
      </c>
      <c r="L31" t="s">
        <v>434</v>
      </c>
      <c r="M31" t="s">
        <v>435</v>
      </c>
      <c r="N31" t="s">
        <v>428</v>
      </c>
      <c r="O31" t="s">
        <v>428</v>
      </c>
      <c r="P31" t="s">
        <v>511</v>
      </c>
      <c r="Q31" t="s">
        <v>427</v>
      </c>
      <c r="R31" t="s">
        <v>571</v>
      </c>
      <c r="S31" t="s">
        <v>599</v>
      </c>
    </row>
  </sheetData>
  <phoneticPr fontId="1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Report</vt:lpstr>
      <vt:lpstr>Summary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SYSTEM</cp:lastModifiedBy>
  <dcterms:created xsi:type="dcterms:W3CDTF">2009-12-22T20:29:52Z</dcterms:created>
  <dcterms:modified xsi:type="dcterms:W3CDTF">2025-11-14T07:42:47Z</dcterms:modified>
</cp:coreProperties>
</file>