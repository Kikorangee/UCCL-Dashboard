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indows\SystemTemp\"/>
    </mc:Choice>
  </mc:AlternateContent>
  <xr:revisionPtr revIDLastSave="0" documentId="13_ncr:1_{14128D1E-3430-45FD-A850-DE4B13F9CAFB}" xr6:coauthVersionLast="47" xr6:coauthVersionMax="47" xr10:uidLastSave="{00000000-0000-0000-0000-000000000000}"/>
  <bookViews>
    <workbookView xWindow="-60" yWindow="-60" windowWidth="15480" windowHeight="11640" tabRatio="500" firstSheet="1" activeTab="2" xr2:uid="{00000000-000D-0000-FFFF-FFFF00000000}"/>
  </bookViews>
  <sheets>
    <sheet name="Data" sheetId="1" state="hidden" r:id="rId1"/>
    <sheet name="Report" sheetId="2" r:id="rId2"/>
    <sheet name="Summary" sheetId="3" r:id="rId3"/>
    <sheet name="Languages" sheetId="4" state="hidden" r:id="rId4"/>
  </sheets>
  <definedNames>
    <definedName name="_xlnm._FilterDatabase" localSheetId="1" hidden="1">Report!$A$13:$O$13</definedName>
    <definedName name="AllData">Report!$A$13:$P$44</definedName>
  </definedNames>
  <calcPr calcId="191029"/>
  <pivotCaches>
    <pivotCache cacheId="36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calcChain.xml><?xml version="1.0" encoding="utf-8"?>
<calcChain xmlns="http://schemas.openxmlformats.org/spreadsheetml/2006/main">
  <c r="B11" i="3" l="1"/>
  <c r="B10" i="3"/>
  <c r="B9" i="3"/>
  <c r="B6" i="3"/>
  <c r="B7" i="3" s="1"/>
  <c r="B5" i="3"/>
  <c r="A2" i="3"/>
  <c r="C1" i="3"/>
  <c r="P44" i="2"/>
  <c r="N44" i="2"/>
  <c r="O44" i="2" s="1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P43" i="2"/>
  <c r="N43" i="2"/>
  <c r="O43" i="2" s="1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P42" i="2"/>
  <c r="N42" i="2"/>
  <c r="O42" i="2" s="1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P41" i="2"/>
  <c r="N41" i="2"/>
  <c r="O41" i="2" s="1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P40" i="2"/>
  <c r="N40" i="2"/>
  <c r="O40" i="2" s="1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P39" i="2"/>
  <c r="N39" i="2"/>
  <c r="O39" i="2" s="1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P38" i="2"/>
  <c r="N38" i="2"/>
  <c r="O38" i="2" s="1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P37" i="2"/>
  <c r="N37" i="2"/>
  <c r="O37" i="2" s="1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P36" i="2"/>
  <c r="N36" i="2"/>
  <c r="O36" i="2" s="1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P35" i="2"/>
  <c r="N35" i="2"/>
  <c r="O35" i="2" s="1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B11" i="2"/>
  <c r="B10" i="2"/>
  <c r="B9" i="2"/>
  <c r="B6" i="2"/>
  <c r="B7" i="2" s="1"/>
  <c r="B5" i="2"/>
  <c r="A2" i="2"/>
  <c r="C1" i="2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rFont val="Arial"/>
            <family val="2"/>
            <charset val="1"/>
          </rPr>
          <t>ExceptionsDetail.25</t>
        </r>
      </text>
    </comment>
  </commentList>
</comments>
</file>

<file path=xl/sharedStrings.xml><?xml version="1.0" encoding="utf-8"?>
<sst xmlns="http://schemas.openxmlformats.org/spreadsheetml/2006/main" count="1151" uniqueCount="640">
  <si>
    <t>CompanyName</t>
  </si>
  <si>
    <t>RunDate</t>
  </si>
  <si>
    <t>FromDate</t>
  </si>
  <si>
    <t>ToDate</t>
  </si>
  <si>
    <t>TimeZone</t>
  </si>
  <si>
    <t>DistanceUnit</t>
  </si>
  <si>
    <t>km</t>
  </si>
  <si>
    <t>SpeedUnit</t>
  </si>
  <si>
    <t>km/h</t>
  </si>
  <si>
    <t>SendReport</t>
  </si>
  <si>
    <t>LastModifiedUser</t>
  </si>
  <si>
    <t>Language</t>
  </si>
  <si>
    <t>en</t>
  </si>
  <si>
    <t>.Device.DeviceName</t>
  </si>
  <si>
    <t>.Device.DeviceId</t>
  </si>
  <si>
    <t>.Device.DeviceComment</t>
  </si>
  <si>
    <t>.Device.DeviceGroup</t>
  </si>
  <si>
    <t>.Driver.UserFirstName</t>
  </si>
  <si>
    <t>.Driver.UserLastName</t>
  </si>
  <si>
    <t>.Driver.UserName</t>
  </si>
  <si>
    <t>.Driver.UserId</t>
  </si>
  <si>
    <t>.Driver.UserComment</t>
  </si>
  <si>
    <t>.Driver.DriverGroup</t>
  </si>
  <si>
    <t>.ExceptionRule.ExceptionRuleName</t>
  </si>
  <si>
    <t>ExceptionDetailLongitude</t>
  </si>
  <si>
    <t>ExceptionDetailLatitude</t>
  </si>
  <si>
    <t>ExceptionDetailLocation</t>
  </si>
  <si>
    <t>Location.ZoneZoneTypes</t>
  </si>
  <si>
    <t>Location.ZoneExternalReference</t>
  </si>
  <si>
    <t>ExceptionDetailStartTime</t>
  </si>
  <si>
    <t>ExceptionDuration</t>
  </si>
  <si>
    <t>ExceptionDistance</t>
  </si>
  <si>
    <t>ExceptionDetailExtraInfo</t>
  </si>
  <si>
    <t>ExceptionDetailDetails</t>
  </si>
  <si>
    <t>ExceptionStatus</t>
  </si>
  <si>
    <t>**Exceptions Detail Report</t>
  </si>
  <si>
    <t>Date</t>
  </si>
  <si>
    <t>**From</t>
  </si>
  <si>
    <t>**To</t>
  </si>
  <si>
    <t>**Time Zone</t>
  </si>
  <si>
    <t>**Distance Unit</t>
  </si>
  <si>
    <t>**Speed Unit</t>
  </si>
  <si>
    <t>**Device</t>
  </si>
  <si>
    <t>**Device Group</t>
  </si>
  <si>
    <t>**First Name</t>
  </si>
  <si>
    <t>**Last Name</t>
  </si>
  <si>
    <t>**Driver</t>
  </si>
  <si>
    <t>**Driver Group</t>
  </si>
  <si>
    <t>**Rule</t>
  </si>
  <si>
    <t>**Location</t>
  </si>
  <si>
    <t>**Location Zone Types</t>
  </si>
  <si>
    <t>**Date</t>
  </si>
  <si>
    <t>**Start Time</t>
  </si>
  <si>
    <t>**Extra Info</t>
  </si>
  <si>
    <t>**Details</t>
  </si>
  <si>
    <t>**Status</t>
  </si>
  <si>
    <t>Data</t>
  </si>
  <si>
    <t>English</t>
  </si>
  <si>
    <t>Spanish</t>
  </si>
  <si>
    <t>German</t>
  </si>
  <si>
    <t>Japanese</t>
  </si>
  <si>
    <t>Polish</t>
  </si>
  <si>
    <t>Portuguese-Brazil</t>
  </si>
  <si>
    <t>Dutch</t>
  </si>
  <si>
    <t>Italian</t>
  </si>
  <si>
    <t>Simplified Chinese</t>
  </si>
  <si>
    <t>Thai</t>
  </si>
  <si>
    <t>Indonesian</t>
  </si>
  <si>
    <t>Czech</t>
  </si>
  <si>
    <t>Swedish</t>
  </si>
  <si>
    <t>Dispositif</t>
  </si>
  <si>
    <t>Dispositivo</t>
  </si>
  <si>
    <t>Gerät</t>
  </si>
  <si>
    <t>デバイス</t>
  </si>
  <si>
    <t>Urzadzenie</t>
  </si>
  <si>
    <t>Apparaat</t>
  </si>
  <si>
    <t>设备</t>
  </si>
  <si>
    <t>อุปกรณ์</t>
  </si>
  <si>
    <t>Perangkat</t>
  </si>
  <si>
    <t>Zařízení</t>
  </si>
  <si>
    <t>Enhet</t>
  </si>
  <si>
    <t>Prénom</t>
  </si>
  <si>
    <t>Nombre</t>
  </si>
  <si>
    <t>Vorname</t>
  </si>
  <si>
    <t>ファーストネー</t>
  </si>
  <si>
    <t>Imie</t>
  </si>
  <si>
    <t>Nome</t>
  </si>
  <si>
    <t>Voornaam</t>
  </si>
  <si>
    <t>名字</t>
  </si>
  <si>
    <t>ชื่อ</t>
  </si>
  <si>
    <t>Nama Depan</t>
  </si>
  <si>
    <t>Křestní jméno</t>
  </si>
  <si>
    <t>Förnamn</t>
  </si>
  <si>
    <t>Nom de famille</t>
  </si>
  <si>
    <t>Apellido</t>
  </si>
  <si>
    <t>Nachname</t>
  </si>
  <si>
    <t>ラストネーム</t>
  </si>
  <si>
    <t>Nazwisko</t>
  </si>
  <si>
    <t>Sobrenome</t>
  </si>
  <si>
    <t>Achternaam</t>
  </si>
  <si>
    <t>Cognome</t>
  </si>
  <si>
    <t>姓氏</t>
  </si>
  <si>
    <t>นามสกุล</t>
  </si>
  <si>
    <t>Nama belakang</t>
  </si>
  <si>
    <t>Příjmení</t>
  </si>
  <si>
    <t>Efternamn</t>
  </si>
  <si>
    <t>Groupe de dispositifs</t>
  </si>
  <si>
    <t>Grupo de dispositivos</t>
  </si>
  <si>
    <t>Gerätegruppe</t>
  </si>
  <si>
    <t>デバイスグループ</t>
  </si>
  <si>
    <t>Grupa urzadzen</t>
  </si>
  <si>
    <t>Grupo de dispositivo</t>
  </si>
  <si>
    <t>Apparaatgroep</t>
  </si>
  <si>
    <t>Gruppo di dispositivi</t>
  </si>
  <si>
    <t>设备的组名</t>
  </si>
  <si>
    <t>กลุ่มอุปกรณ์</t>
  </si>
  <si>
    <t>Grup Perangkat</t>
  </si>
  <si>
    <t>Skupina zařízení</t>
  </si>
  <si>
    <t>Enhetsgrupp</t>
  </si>
  <si>
    <t>Conducteur</t>
  </si>
  <si>
    <t>Conductor</t>
  </si>
  <si>
    <t>Fahrer</t>
  </si>
  <si>
    <t>ドライバー</t>
  </si>
  <si>
    <t>Kierowca</t>
  </si>
  <si>
    <t>Motorista</t>
  </si>
  <si>
    <t>Chauffeur</t>
  </si>
  <si>
    <t>Conducente</t>
  </si>
  <si>
    <t>驾驶员</t>
  </si>
  <si>
    <t>ผู้ขับ</t>
  </si>
  <si>
    <t>Pengemudi</t>
  </si>
  <si>
    <t>Řidič</t>
  </si>
  <si>
    <t>Förare</t>
  </si>
  <si>
    <t>Groupe de chauffeurs</t>
  </si>
  <si>
    <t>Grupo de conductores</t>
  </si>
  <si>
    <t>Fahrergruppe</t>
  </si>
  <si>
    <t>ドライバーグループ</t>
  </si>
  <si>
    <t>Grupa kierowców</t>
  </si>
  <si>
    <t>Grupo de motorista</t>
  </si>
  <si>
    <t>Chauffeursgroep</t>
  </si>
  <si>
    <t>Gruppo di conducenti</t>
  </si>
  <si>
    <t>驾驶员组</t>
  </si>
  <si>
    <t>กลุ่มผู้ขับ</t>
  </si>
  <si>
    <t>Grup Pengemudi</t>
  </si>
  <si>
    <t>Skupina řidičů</t>
  </si>
  <si>
    <t>Förargrupp</t>
  </si>
  <si>
    <t>Règle</t>
  </si>
  <si>
    <t>Regla</t>
  </si>
  <si>
    <t>Regel</t>
  </si>
  <si>
    <t>ルール</t>
  </si>
  <si>
    <t>Regula</t>
  </si>
  <si>
    <t>Regra</t>
  </si>
  <si>
    <t>Regola</t>
  </si>
  <si>
    <t>规则</t>
  </si>
  <si>
    <t>กฎ</t>
  </si>
  <si>
    <t>Aturan</t>
  </si>
  <si>
    <t>Pravidlo</t>
  </si>
  <si>
    <t>Emplacement</t>
  </si>
  <si>
    <t>Ubicación</t>
  </si>
  <si>
    <t>Ort</t>
  </si>
  <si>
    <t>位置</t>
  </si>
  <si>
    <t>Lokalizacja</t>
  </si>
  <si>
    <t>Localização</t>
  </si>
  <si>
    <t>Locatie</t>
  </si>
  <si>
    <t>Ubicazione</t>
  </si>
  <si>
    <t>ตำแหน่งที่ตั้ง</t>
  </si>
  <si>
    <t>Lokasi</t>
  </si>
  <si>
    <t>Poloha</t>
  </si>
  <si>
    <t>Plats</t>
  </si>
  <si>
    <t>Types de zones de localisation</t>
  </si>
  <si>
    <t>Tipos de zonas de la ubicación</t>
  </si>
  <si>
    <t>Standortzonentyp</t>
  </si>
  <si>
    <t>場所ゾーンタイプ</t>
  </si>
  <si>
    <t>Typy stref lokalizacji</t>
  </si>
  <si>
    <t>Tipos de zona de localização</t>
  </si>
  <si>
    <t>Types locatiezone</t>
  </si>
  <si>
    <t>Tipi di zone delle ubicazioni</t>
  </si>
  <si>
    <t>位置区域类型</t>
  </si>
  <si>
    <t>ประเภทโซนของตำแหน่งที่ตั้ง</t>
  </si>
  <si>
    <t>Location Zone Types</t>
  </si>
  <si>
    <t>Typy zón polohy</t>
  </si>
  <si>
    <t>Platszontyper</t>
  </si>
  <si>
    <t>Fecha</t>
  </si>
  <si>
    <t>Datum</t>
  </si>
  <si>
    <t>データ</t>
  </si>
  <si>
    <t>日期</t>
  </si>
  <si>
    <t>วันที่</t>
  </si>
  <si>
    <t>Tanggal</t>
  </si>
  <si>
    <t>Heure de départ</t>
  </si>
  <si>
    <t>Hora de inicio</t>
  </si>
  <si>
    <t>Startzeit</t>
  </si>
  <si>
    <t>開始時間</t>
  </si>
  <si>
    <t>Godzina rozpoczecia</t>
  </si>
  <si>
    <t>Hora de início</t>
  </si>
  <si>
    <t>Starttijd</t>
  </si>
  <si>
    <t>Ora iniziale</t>
  </si>
  <si>
    <t>开始时间</t>
  </si>
  <si>
    <t>เวลาเริ่มต้น</t>
  </si>
  <si>
    <t>Waktu Mulai</t>
  </si>
  <si>
    <t>Čas začátku</t>
  </si>
  <si>
    <t>Starttid</t>
  </si>
  <si>
    <t>durée</t>
  </si>
  <si>
    <t>duración</t>
  </si>
  <si>
    <t>Dauer</t>
  </si>
  <si>
    <t>期間</t>
  </si>
  <si>
    <t>Czas trwania</t>
  </si>
  <si>
    <t>duração</t>
  </si>
  <si>
    <t>duur</t>
  </si>
  <si>
    <t>durata</t>
  </si>
  <si>
    <t>时长</t>
  </si>
  <si>
    <t>ระยะเวลา</t>
  </si>
  <si>
    <t>Durasi</t>
  </si>
  <si>
    <t>doba trvání</t>
  </si>
  <si>
    <t>varaktighet</t>
  </si>
  <si>
    <t>Distance</t>
  </si>
  <si>
    <t>Distancia</t>
  </si>
  <si>
    <t>Entfernung</t>
  </si>
  <si>
    <t>距離</t>
  </si>
  <si>
    <t>Odleglosc</t>
  </si>
  <si>
    <t>Distância</t>
  </si>
  <si>
    <t>Afstand</t>
  </si>
  <si>
    <t>Distanza</t>
  </si>
  <si>
    <t>距离</t>
  </si>
  <si>
    <t>ระยะทาง</t>
  </si>
  <si>
    <t>Jarak</t>
  </si>
  <si>
    <t>Vzdálenost</t>
  </si>
  <si>
    <t>Distans</t>
  </si>
  <si>
    <t>Autres infos</t>
  </si>
  <si>
    <t>Información adicional</t>
  </si>
  <si>
    <t>Zusatzinformationen</t>
  </si>
  <si>
    <t>追加情報</t>
  </si>
  <si>
    <t>Informacje dodatkowe</t>
  </si>
  <si>
    <t>Informações extras</t>
  </si>
  <si>
    <t>Extra info</t>
  </si>
  <si>
    <t>Informazioni aggiuntive</t>
  </si>
  <si>
    <t>额外信息</t>
  </si>
  <si>
    <t>ข้อมูลเพิ่มเติม</t>
  </si>
  <si>
    <t>Info Ekstra</t>
  </si>
  <si>
    <t>Další informace</t>
  </si>
  <si>
    <t>Détails</t>
  </si>
  <si>
    <t>Detalles</t>
  </si>
  <si>
    <t>Details</t>
  </si>
  <si>
    <t>詳細</t>
  </si>
  <si>
    <t>Szczególy</t>
  </si>
  <si>
    <t>Detalhes</t>
  </si>
  <si>
    <t>Dettagli</t>
  </si>
  <si>
    <t>详细信息</t>
  </si>
  <si>
    <t>รายละเอียด</t>
  </si>
  <si>
    <t>Detail</t>
  </si>
  <si>
    <t>Podrobnosti</t>
  </si>
  <si>
    <t>Detaljer</t>
  </si>
  <si>
    <t>Rapport d’exceptions détaillé</t>
  </si>
  <si>
    <t>Reporte detallado sobre las excepciones</t>
  </si>
  <si>
    <t>Bericht Ausnahmeneinzelheiten</t>
  </si>
  <si>
    <t>例外事項（例外ルール）詳細レポート</t>
  </si>
  <si>
    <t>Raport szczególowy wyjatków</t>
  </si>
  <si>
    <t>Relatório detalhado das exceções</t>
  </si>
  <si>
    <t>Rapport Uitzonderingendetails</t>
  </si>
  <si>
    <t>Report dei dettagli sulle eccezioni</t>
  </si>
  <si>
    <t>异常情况详细报告</t>
  </si>
  <si>
    <t>รายงานรายละเอียดความผิดปกติ</t>
  </si>
  <si>
    <t>Laporan Detail Pengecualian</t>
  </si>
  <si>
    <t>Podrobný výkaz o výjimkách</t>
  </si>
  <si>
    <t>Detaljrapport för undantag</t>
  </si>
  <si>
    <t>**Created</t>
  </si>
  <si>
    <t>Créé</t>
  </si>
  <si>
    <t>Creado</t>
  </si>
  <si>
    <t>Angelegt</t>
  </si>
  <si>
    <t>作成済</t>
  </si>
  <si>
    <t>Utworzono</t>
  </si>
  <si>
    <t>Criado em</t>
  </si>
  <si>
    <t>Aangemaakt</t>
  </si>
  <si>
    <t>Creato</t>
  </si>
  <si>
    <t>创建日期</t>
  </si>
  <si>
    <t>สร้างแล้ว</t>
  </si>
  <si>
    <t>Dibuat</t>
  </si>
  <si>
    <t>Vytvořeno</t>
  </si>
  <si>
    <t>Skapad</t>
  </si>
  <si>
    <t>À partir de</t>
  </si>
  <si>
    <t>De</t>
  </si>
  <si>
    <t>Von</t>
  </si>
  <si>
    <t>から</t>
  </si>
  <si>
    <t>Od</t>
  </si>
  <si>
    <t>Van</t>
  </si>
  <si>
    <t>Da</t>
  </si>
  <si>
    <t>自</t>
  </si>
  <si>
    <t>จาก</t>
  </si>
  <si>
    <t>Dari</t>
  </si>
  <si>
    <t>Från</t>
  </si>
  <si>
    <t>Pour</t>
  </si>
  <si>
    <t>Para</t>
  </si>
  <si>
    <t>An</t>
  </si>
  <si>
    <t>へ</t>
  </si>
  <si>
    <t>Do</t>
  </si>
  <si>
    <t>Aan</t>
  </si>
  <si>
    <t>A</t>
  </si>
  <si>
    <t>至</t>
  </si>
  <si>
    <t>ถึง</t>
  </si>
  <si>
    <t>Hingga</t>
  </si>
  <si>
    <t>Do/pro</t>
  </si>
  <si>
    <t>Till</t>
  </si>
  <si>
    <t>Unité de distance</t>
  </si>
  <si>
    <t>Unidad de distancia</t>
  </si>
  <si>
    <t>Entfernungseinheit</t>
  </si>
  <si>
    <t>距離の単位</t>
  </si>
  <si>
    <t>Jednostka odleglosci</t>
  </si>
  <si>
    <t>Unidade de distância</t>
  </si>
  <si>
    <t>Afstandseenheid</t>
  </si>
  <si>
    <t>Unità di distanza</t>
  </si>
  <si>
    <t>距离单位</t>
  </si>
  <si>
    <t>หน่วยระยะทาง</t>
  </si>
  <si>
    <t>Satuan Jarak</t>
  </si>
  <si>
    <t>Jednotka vzdálenosti</t>
  </si>
  <si>
    <t>Distansenhet</t>
  </si>
  <si>
    <t>Unité de vitesse</t>
  </si>
  <si>
    <t>Unidad de velocidad</t>
  </si>
  <si>
    <t>Geschwindigkeitseinheit</t>
  </si>
  <si>
    <t>速度単位</t>
  </si>
  <si>
    <t>Unidade de velocidade</t>
  </si>
  <si>
    <t>Snelheidseenheid</t>
  </si>
  <si>
    <t>速度单位</t>
  </si>
  <si>
    <t>หน่วยความเร็ว</t>
  </si>
  <si>
    <t>Jednotka rychlosti</t>
  </si>
  <si>
    <t>Hastighetsenhet</t>
  </si>
  <si>
    <t>Fuseau horaire</t>
  </si>
  <si>
    <t>Huso horario</t>
  </si>
  <si>
    <t>Zeitzone</t>
  </si>
  <si>
    <t>タイムゾーン</t>
  </si>
  <si>
    <t>Strefa czasowa</t>
  </si>
  <si>
    <t>Zona horária</t>
  </si>
  <si>
    <t>Tijdzone</t>
  </si>
  <si>
    <t>Fuso orario</t>
  </si>
  <si>
    <t>时区</t>
  </si>
  <si>
    <t>โซนเวลา</t>
  </si>
  <si>
    <t>Zona Waktu</t>
  </si>
  <si>
    <t>Časové pásmo</t>
  </si>
  <si>
    <t>Tidszon</t>
  </si>
  <si>
    <t>Turkish</t>
  </si>
  <si>
    <t>Aygıt</t>
  </si>
  <si>
    <t>Ad</t>
  </si>
  <si>
    <t>Soyadı</t>
  </si>
  <si>
    <t>Aygıt Grubu</t>
  </si>
  <si>
    <t>Sürücü</t>
  </si>
  <si>
    <t>Sürücü Grubu</t>
  </si>
  <si>
    <t>Kural</t>
  </si>
  <si>
    <t>Konum</t>
  </si>
  <si>
    <t>Konum Alan Türleri</t>
  </si>
  <si>
    <t>Tarih</t>
  </si>
  <si>
    <t>Başlangıç Saati</t>
  </si>
  <si>
    <t>Süre</t>
  </si>
  <si>
    <t>Mesafe</t>
  </si>
  <si>
    <t>Ekstra Bilgi</t>
  </si>
  <si>
    <t>Ayrıntılar</t>
  </si>
  <si>
    <t>Kural Dışı Durum Ayrıntılı Raporu</t>
  </si>
  <si>
    <t>Oluşturuldu</t>
  </si>
  <si>
    <t>Gönderen</t>
  </si>
  <si>
    <t>Alıcı</t>
  </si>
  <si>
    <t>Mesafe Birimi</t>
  </si>
  <si>
    <t>Hız Birimi</t>
  </si>
  <si>
    <t>Saat Dilimi</t>
  </si>
  <si>
    <t>Durum</t>
  </si>
  <si>
    <t>**Days</t>
  </si>
  <si>
    <t>Statut</t>
  </si>
  <si>
    <t>Estado</t>
  </si>
  <si>
    <t>Status</t>
  </si>
  <si>
    <t>ステータス</t>
  </si>
  <si>
    <t>Stato</t>
  </si>
  <si>
    <t>状态</t>
  </si>
  <si>
    <t>สถานะ</t>
  </si>
  <si>
    <t>Stav</t>
  </si>
  <si>
    <t>Jours</t>
  </si>
  <si>
    <t>Días</t>
  </si>
  <si>
    <t>Tage</t>
  </si>
  <si>
    <t>日</t>
  </si>
  <si>
    <t>Dni</t>
  </si>
  <si>
    <t>Dias</t>
  </si>
  <si>
    <t>Dagen</t>
  </si>
  <si>
    <t>Giorni</t>
  </si>
  <si>
    <t>วัน</t>
  </si>
  <si>
    <t>Hari</t>
  </si>
  <si>
    <t>Dny</t>
  </si>
  <si>
    <t>Dagar</t>
  </si>
  <si>
    <t>Gün</t>
  </si>
  <si>
    <t>Values</t>
  </si>
  <si>
    <t>Grand Total</t>
  </si>
  <si>
    <t>Malay</t>
  </si>
  <si>
    <t>Peranti</t>
  </si>
  <si>
    <t>Nama pertama</t>
  </si>
  <si>
    <t>Nama keluarga</t>
  </si>
  <si>
    <t>Kumpulan Peranti</t>
  </si>
  <si>
    <t>Pemandu</t>
  </si>
  <si>
    <t>Kumpulan Pemandu</t>
  </si>
  <si>
    <t>Peraturan</t>
  </si>
  <si>
    <t>Jenis Zon Lokasi</t>
  </si>
  <si>
    <t>Tarikh</t>
  </si>
  <si>
    <t>Masa Mula</t>
  </si>
  <si>
    <t>tempoh</t>
  </si>
  <si>
    <t>Maklumat Tambahan</t>
  </si>
  <si>
    <t>Butiran</t>
  </si>
  <si>
    <t>Laporan Butiran Pengecualian</t>
  </si>
  <si>
    <t>Dicipta</t>
  </si>
  <si>
    <t>Daripada</t>
  </si>
  <si>
    <t>Ke</t>
  </si>
  <si>
    <t>Unit Jarak</t>
  </si>
  <si>
    <t>Unit Kelajuan</t>
  </si>
  <si>
    <t>Zon Waktu</t>
  </si>
  <si>
    <t>**Duration</t>
  </si>
  <si>
    <t>**Distance</t>
  </si>
  <si>
    <t>French France</t>
  </si>
  <si>
    <t>Boîtier</t>
  </si>
  <si>
    <t>Groupe de boîtiers</t>
  </si>
  <si>
    <t>Groupe de conducteurs</t>
  </si>
  <si>
    <t>Type de zone de l’emplacement</t>
  </si>
  <si>
    <t>Heure de début</t>
  </si>
  <si>
    <t>Infos supplémentaires</t>
  </si>
  <si>
    <t>Rapport détaillé des irrégularités</t>
  </si>
  <si>
    <t>À partir du</t>
  </si>
  <si>
    <t>À</t>
  </si>
  <si>
    <t>État</t>
  </si>
  <si>
    <t>French Canada</t>
  </si>
  <si>
    <t>天数</t>
  </si>
  <si>
    <t>Jednostka prędkości</t>
  </si>
  <si>
    <t>Unità di misura della velocità</t>
  </si>
  <si>
    <t>Satuan Kecepatan</t>
  </si>
  <si>
    <t>.Device.DeviceGroup|Company Group</t>
  </si>
  <si>
    <t>.Driver.DriverGroup|Company Group</t>
  </si>
  <si>
    <t>Korean</t>
  </si>
  <si>
    <t>장치</t>
  </si>
  <si>
    <t>이름</t>
  </si>
  <si>
    <t>성</t>
  </si>
  <si>
    <t>장치 그룹</t>
  </si>
  <si>
    <t>운전자</t>
  </si>
  <si>
    <t>운전자 그룹</t>
  </si>
  <si>
    <t>규칙</t>
  </si>
  <si>
    <t>위치</t>
  </si>
  <si>
    <t>위치 구역 유형</t>
  </si>
  <si>
    <t>날짜</t>
  </si>
  <si>
    <t>시작 시간</t>
  </si>
  <si>
    <t>지속 시간</t>
  </si>
  <si>
    <t>거리</t>
  </si>
  <si>
    <t>추가 정보</t>
  </si>
  <si>
    <t>세부 정보</t>
  </si>
  <si>
    <t>제외 상세 보고서</t>
  </si>
  <si>
    <t>생성됨</t>
  </si>
  <si>
    <t>시작</t>
  </si>
  <si>
    <t>대상</t>
  </si>
  <si>
    <t>거리 단위</t>
  </si>
  <si>
    <t>속도 단위</t>
  </si>
  <si>
    <t>시간대</t>
  </si>
  <si>
    <t>상태</t>
  </si>
  <si>
    <t>일</t>
  </si>
  <si>
    <t>Traditional Chinese</t>
  </si>
  <si>
    <t>裝置</t>
  </si>
  <si>
    <t>裝置群組</t>
  </si>
  <si>
    <t>駕駛</t>
  </si>
  <si>
    <t>駕駛群組</t>
  </si>
  <si>
    <t>規則</t>
  </si>
  <si>
    <t>位置區域類型</t>
  </si>
  <si>
    <t>持續時間</t>
  </si>
  <si>
    <t>額外資訊</t>
  </si>
  <si>
    <t>詳細資訊</t>
  </si>
  <si>
    <t>例外詳細資訊報告</t>
  </si>
  <si>
    <t>已建立</t>
  </si>
  <si>
    <t>從</t>
  </si>
  <si>
    <t>距離單位</t>
  </si>
  <si>
    <t>速度單位</t>
  </si>
  <si>
    <t>時區</t>
  </si>
  <si>
    <t>狀態</t>
  </si>
  <si>
    <t>天</t>
  </si>
  <si>
    <t>Danish</t>
  </si>
  <si>
    <t>Finnish</t>
  </si>
  <si>
    <t>Hungarian</t>
  </si>
  <si>
    <t>Norwegian</t>
  </si>
  <si>
    <t>Slovak</t>
  </si>
  <si>
    <t>Enhed</t>
  </si>
  <si>
    <t>Laite</t>
  </si>
  <si>
    <t>Készülék</t>
  </si>
  <si>
    <t>Zariadenie</t>
  </si>
  <si>
    <t>Fornavn</t>
  </si>
  <si>
    <t>Etunimi</t>
  </si>
  <si>
    <t>Keresztnév</t>
  </si>
  <si>
    <t>Krstné meno</t>
  </si>
  <si>
    <t>Efternavn</t>
  </si>
  <si>
    <t>Sukunimi</t>
  </si>
  <si>
    <t>Vezetéknév</t>
  </si>
  <si>
    <t>Etternavn</t>
  </si>
  <si>
    <t>Priezvisko</t>
  </si>
  <si>
    <t>Enhedsgruppe</t>
  </si>
  <si>
    <t>Laiteryhmä</t>
  </si>
  <si>
    <t>Készülékcsoport</t>
  </si>
  <si>
    <t>Enhetsgruppe</t>
  </si>
  <si>
    <t>Skupina zariadení</t>
  </si>
  <si>
    <t>Fører</t>
  </si>
  <si>
    <t>Kuljettaja</t>
  </si>
  <si>
    <t>Vezető</t>
  </si>
  <si>
    <t>Vodič</t>
  </si>
  <si>
    <t>Førergruppe</t>
  </si>
  <si>
    <t>Kuljettajaryhmä</t>
  </si>
  <si>
    <t>Vezetőcsoport</t>
  </si>
  <si>
    <t>Skupina vodičov</t>
  </si>
  <si>
    <t>Sääntö</t>
  </si>
  <si>
    <t>Szabály</t>
  </si>
  <si>
    <t>Placering</t>
  </si>
  <si>
    <t>Sijainti</t>
  </si>
  <si>
    <t>Hely</t>
  </si>
  <si>
    <t>Plassering</t>
  </si>
  <si>
    <t>Placeringszonetyper</t>
  </si>
  <si>
    <t>Sijaintivyöhyketyypit</t>
  </si>
  <si>
    <t>Helyzónatípusok</t>
  </si>
  <si>
    <t>Typer plasseringssone</t>
  </si>
  <si>
    <t>Dato</t>
  </si>
  <si>
    <t>Päivämäärä</t>
  </si>
  <si>
    <t>Dátum</t>
  </si>
  <si>
    <t>Starttidspunkt</t>
  </si>
  <si>
    <t>Alkamisaika</t>
  </si>
  <si>
    <t>Kezdés ideje</t>
  </si>
  <si>
    <t>Čas začiatku</t>
  </si>
  <si>
    <t>Varighed</t>
  </si>
  <si>
    <t>Kesto</t>
  </si>
  <si>
    <t>Időtartam</t>
  </si>
  <si>
    <t>Varighet</t>
  </si>
  <si>
    <t>Trvanie</t>
  </si>
  <si>
    <t>Matka</t>
  </si>
  <si>
    <t>Távolság</t>
  </si>
  <si>
    <t>Avstand</t>
  </si>
  <si>
    <t>Vzdialenosť</t>
  </si>
  <si>
    <t>Ekstra info</t>
  </si>
  <si>
    <t>Lisätietoja</t>
  </si>
  <si>
    <t>Kiegészítő infó</t>
  </si>
  <si>
    <t>Ďalšie informácie</t>
  </si>
  <si>
    <t>Tarkemmat tiedot</t>
  </si>
  <si>
    <t>Részletek</t>
  </si>
  <si>
    <t>Detaljeret rapport over undtagelser</t>
  </si>
  <si>
    <t>Poikkeuksien tarkka raportti</t>
  </si>
  <si>
    <t>Kivételek részletes jelentése</t>
  </si>
  <si>
    <t>Detaljert rapport om unntak</t>
  </si>
  <si>
    <t>Podrobný výkaz výnimiek</t>
  </si>
  <si>
    <t>Oprettet</t>
  </si>
  <si>
    <t>Luotu</t>
  </si>
  <si>
    <t>Létrehozva</t>
  </si>
  <si>
    <t>Opprettet</t>
  </si>
  <si>
    <t>Vytvorené</t>
  </si>
  <si>
    <t>Fra</t>
  </si>
  <si>
    <t>Alku</t>
  </si>
  <si>
    <t>Feladó</t>
  </si>
  <si>
    <t>Z</t>
  </si>
  <si>
    <t>Til</t>
  </si>
  <si>
    <t>Kohde</t>
  </si>
  <si>
    <t>Címzett</t>
  </si>
  <si>
    <t>Afstandsenhed</t>
  </si>
  <si>
    <t>Matkan mittayksikkö</t>
  </si>
  <si>
    <t>Távolság mértékegysége</t>
  </si>
  <si>
    <t>Avstandsenhet</t>
  </si>
  <si>
    <t>Jednotka vzdialenosti</t>
  </si>
  <si>
    <t>Enhed for hastighed</t>
  </si>
  <si>
    <t>Nopeusyksikkö</t>
  </si>
  <si>
    <t>Sebesség mértékegység</t>
  </si>
  <si>
    <t>Jednotka rýchlosti</t>
  </si>
  <si>
    <t>Tidszone</t>
  </si>
  <si>
    <t>Aikavyöhyke</t>
  </si>
  <si>
    <t>Időzóna</t>
  </si>
  <si>
    <t>Tidssone</t>
  </si>
  <si>
    <t>Tila</t>
  </si>
  <si>
    <t>Állapot</t>
  </si>
  <si>
    <t>Dage</t>
  </si>
  <si>
    <t>Päivät</t>
  </si>
  <si>
    <t>Napok</t>
  </si>
  <si>
    <t>Dager</t>
  </si>
  <si>
    <t>United Civil Construction Limited</t>
  </si>
  <si>
    <t>Pacific/Auckland</t>
  </si>
  <si>
    <t>**&lt;No User&gt;</t>
  </si>
  <si>
    <t>128</t>
  </si>
  <si>
    <t>b170</t>
  </si>
  <si>
    <t>23.5T Hyundai R235LCR-9 2016</t>
  </si>
  <si>
    <t>Digger, Diesel, Excavator/Tradestaff, Machines, Trade Staff</t>
  </si>
  <si>
    <t>Diesel, Digger, Excavator/Tradestaff, Machines, Trade Staff</t>
  </si>
  <si>
    <t>Idling &gt;10 mins and  &lt;100 m</t>
  </si>
  <si>
    <t>Morningside: 65 Morningside Rd, Northland Region 0110, New Zealand</t>
  </si>
  <si>
    <t>Project</t>
  </si>
  <si>
    <t>Ignition: 1.00</t>
  </si>
  <si>
    <t>Valid</t>
  </si>
  <si>
    <t>Idling &gt;5 mins and  &lt;100 m</t>
  </si>
  <si>
    <t>Paul</t>
  </si>
  <si>
    <t>Travers</t>
  </si>
  <si>
    <t>paul.travers</t>
  </si>
  <si>
    <t>b113</t>
  </si>
  <si>
    <t>Excavator/Tradestaff, Grader/Trade Staff, HDV/Trade Staff, Loader/Trade Staff, Roller/Trade Staff, Telehandler/Trade Staff, Trade Staff</t>
  </si>
  <si>
    <t>Morningside: 74 Morningside Road, Morningside, Whangārei 0110, New Zealand</t>
  </si>
  <si>
    <t>141</t>
  </si>
  <si>
    <t>b175</t>
  </si>
  <si>
    <t>6T Hitachi ZX65USB-5A 2022</t>
  </si>
  <si>
    <t>Digger, Excavator/Tradestaff, Machines, Trade Staff</t>
  </si>
  <si>
    <t>Morningside: 80 Morningside Road, Morningside, Whangārei 0110, New Zealand</t>
  </si>
  <si>
    <t>3414</t>
  </si>
  <si>
    <t>b18F</t>
  </si>
  <si>
    <t>Mitsubishi Fuso Fighter FK200K6 2007</t>
  </si>
  <si>
    <t>Heavy Diesel Vehicles, HDV/Trade Staff, Machines, Trade Staff</t>
  </si>
  <si>
    <t>HDV/Trade Staff, Heavy Diesel Vehicles, Machines, Trade Staff</t>
  </si>
  <si>
    <t>Ruakaka Solar Farm Site 2: 41 Mccathie Road, Ruakākā 0171, New Zealand</t>
  </si>
  <si>
    <t>519</t>
  </si>
  <si>
    <t>bB2</t>
  </si>
  <si>
    <t>Ford Ranger 2021 4x2 XLT D/C W/S</t>
  </si>
  <si>
    <t>Light Diesel Vehicles, Diesel, LDV/PM, PM</t>
  </si>
  <si>
    <t>Diesel, LDV/PM, Light Diesel Vehicles, PM</t>
  </si>
  <si>
    <t>Wayne</t>
  </si>
  <si>
    <t>Pepperell</t>
  </si>
  <si>
    <t>wayne.pepperell@unitedcivil.co.nz</t>
  </si>
  <si>
    <t>bDD</t>
  </si>
  <si>
    <t>LDV/PM, PM</t>
  </si>
  <si>
    <t>26 Angus Lane, Te Kamo, Whangārei 0112, New Zealand</t>
  </si>
  <si>
    <t>536</t>
  </si>
  <si>
    <t>bF3</t>
  </si>
  <si>
    <t>Tesla Model Y 2023</t>
  </si>
  <si>
    <t>Electric Vehicles, Battery Electric Vehicle, EV/Other Management, Other Management</t>
  </si>
  <si>
    <t>Battery Electric Vehicle, Electric Vehicles, EV/Other Management, Other Management</t>
  </si>
  <si>
    <t>Tony</t>
  </si>
  <si>
    <t>Abiad</t>
  </si>
  <si>
    <t>tony.abiad@unitedcivil.co.nz</t>
  </si>
  <si>
    <t>b152</t>
  </si>
  <si>
    <t>EV/Other Management, Other Management</t>
  </si>
  <si>
    <t>510 Hart Drive, Frimley, Hastings 4120, New Zealand</t>
  </si>
  <si>
    <t>Exceptions Detail Report</t>
  </si>
  <si>
    <t>From</t>
  </si>
  <si>
    <t>To</t>
  </si>
  <si>
    <t>Days</t>
  </si>
  <si>
    <t>Time Zone</t>
  </si>
  <si>
    <t>Distance Unit</t>
  </si>
  <si>
    <t>Speed Unit</t>
  </si>
  <si>
    <t>Device</t>
  </si>
  <si>
    <t>Device Group</t>
  </si>
  <si>
    <t>First Name</t>
  </si>
  <si>
    <t>Last Name</t>
  </si>
  <si>
    <t>Driver</t>
  </si>
  <si>
    <t>Driver Group</t>
  </si>
  <si>
    <t>Rule</t>
  </si>
  <si>
    <t>Location</t>
  </si>
  <si>
    <t>Start Time</t>
  </si>
  <si>
    <t>Duration</t>
  </si>
  <si>
    <t>Extra Info</t>
  </si>
  <si>
    <t>Idling &gt;10 mins and  &lt;100 m (Ignition: 1.00)</t>
  </si>
  <si>
    <t>Idling &gt;5 mins and  &lt;100 m (Ignition: 1.00)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</si>
</sst>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[$-409]mmm\ dd&quot;, &quot;yyyy"/>
    <numFmt numFmtId="165" formatCode="[$-409]dd/mm/yyyy\ h:mm:ss\ AM/PM"/>
    <numFmt numFmtId="166" formatCode="[$-409][h]:mm"/>
    <numFmt numFmtId="167" formatCode="[$-409]dddd&quot;, &quot;mmmm\ dd&quot;, &quot;yyyy"/>
    <numFmt numFmtId="168" formatCode="[$-409]h:mm:ss\ AM/PM"/>
    <numFmt numFmtId="169" formatCode="[$-409]0;[$-409]\-0;[$-409];@"/>
  </numFmts>
  <fonts count="23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1"/>
      <color rgb="FF00AEE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A6A6A6"/>
      <name val="Segoe UI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sz val="7"/>
      <color rgb="FF000000"/>
      <name val="Tahoma"/>
      <family val="2"/>
      <charset val="1"/>
    </font>
    <font>
      <sz val="11"/>
      <name val="Segoe UI"/>
      <family val="2"/>
      <charset val="1"/>
    </font>
    <font>
      <sz val="18"/>
      <color rgb="FFFFFFFF"/>
      <name val="Segoe UI"/>
      <family val="2"/>
      <charset val="1"/>
    </font>
    <font>
      <sz val="12"/>
      <color rgb="FFFFFFFF"/>
      <name val="Segoe UI"/>
      <family val="2"/>
      <charset val="1"/>
    </font>
    <font>
      <sz val="16"/>
      <color rgb="FF00AEEF"/>
      <name val="Segoe UI"/>
      <family val="2"/>
      <charset val="1"/>
    </font>
    <font>
      <b/>
      <sz val="11"/>
      <name val="Segoe UI"/>
      <family val="2"/>
      <charset val="1"/>
    </font>
    <font>
      <sz val="11"/>
      <color rgb="FFFFFFFF"/>
      <name val="Segoe UI"/>
      <family val="2"/>
      <charset val="1"/>
    </font>
    <font>
      <b/>
      <sz val="12"/>
      <color rgb="FFFFFFFF"/>
      <name val="Segoe UI"/>
      <family val="2"/>
      <charset val="1"/>
    </font>
    <font>
      <sz val="10"/>
      <name val="Noto Sans CJK SC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1"/>
      <color theme="0"/>
      <name val="Segoe UI"/>
      <family val="2"/>
      <charset val="1"/>
    </font>
    <font>
      <sz val="10"/>
      <color theme="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0C0C0"/>
        <bgColor rgb="FFCCCCFF"/>
      </patternFill>
    </fill>
    <fill>
      <patternFill patternType="solid">
        <fgColor rgb="FF25477B"/>
        <bgColor rgb="FF003366"/>
      </patternFill>
    </fill>
    <fill>
      <patternFill patternType="solid">
        <fgColor rgb="FF00AEEF"/>
        <bgColor rgb="FF33CCCC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1" fillId="0" borderId="0"/>
    <xf numFmtId="0" fontId="2" fillId="2" borderId="0"/>
    <xf numFmtId="0" fontId="20" fillId="0" borderId="0" applyBorder="0" applyProtection="0">
      <alignment horizontal="left"/>
    </xf>
    <xf numFmtId="0" fontId="20" fillId="0" borderId="0" applyBorder="0" applyProtection="0"/>
    <xf numFmtId="0" fontId="20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20" fillId="0" borderId="0" applyBorder="0" applyProtection="0"/>
    <xf numFmtId="0" fontId="4" fillId="0" borderId="0"/>
    <xf numFmtId="0" fontId="1" fillId="2" borderId="0"/>
    <xf numFmtId="164" fontId="5" fillId="2" borderId="0"/>
    <xf numFmtId="0" fontId="1" fillId="0" borderId="0"/>
    <xf numFmtId="0" fontId="6" fillId="0" borderId="0"/>
    <xf numFmtId="0" fontId="7" fillId="0" borderId="0" applyBorder="0" applyProtection="0"/>
  </cellStyleXfs>
  <cellXfs count="71">
    <xf numFmtId="0" fontId="0" fillId="0" borderId="0" xfId="0"/>
    <xf numFmtId="0" fontId="8" fillId="0" borderId="0" xfId="0" applyFont="1"/>
    <xf numFmtId="165" fontId="9" fillId="0" borderId="0" xfId="0" applyNumberFormat="1" applyFont="1" applyAlignment="1">
      <alignment horizontal="left"/>
    </xf>
    <xf numFmtId="0" fontId="10" fillId="3" borderId="1" xfId="0" applyFont="1" applyFill="1" applyBorder="1" applyAlignment="1">
      <alignment horizontal="center" wrapText="1"/>
    </xf>
    <xf numFmtId="0" fontId="9" fillId="0" borderId="0" xfId="0" applyFont="1" applyAlignment="1">
      <alignment horizontal="left"/>
    </xf>
    <xf numFmtId="166" fontId="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167" fontId="11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2" fillId="4" borderId="0" xfId="2" applyFont="1" applyFill="1" applyAlignment="1">
      <alignment vertical="top"/>
    </xf>
    <xf numFmtId="0" fontId="12" fillId="4" borderId="0" xfId="2" applyFont="1" applyFill="1"/>
    <xf numFmtId="164" fontId="13" fillId="4" borderId="0" xfId="9" applyNumberFormat="1" applyFont="1" applyFill="1" applyAlignment="1">
      <alignment horizontal="center"/>
    </xf>
    <xf numFmtId="2" fontId="12" fillId="4" borderId="0" xfId="2" applyNumberFormat="1" applyFont="1" applyFill="1" applyAlignment="1">
      <alignment horizontal="center"/>
    </xf>
    <xf numFmtId="10" fontId="12" fillId="4" borderId="0" xfId="2" applyNumberFormat="1" applyFont="1" applyFill="1" applyAlignment="1">
      <alignment horizontal="center"/>
    </xf>
    <xf numFmtId="0" fontId="14" fillId="0" borderId="0" xfId="0" applyFont="1"/>
    <xf numFmtId="10" fontId="11" fillId="0" borderId="0" xfId="0" applyNumberFormat="1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167" fontId="15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164" fontId="11" fillId="0" borderId="0" xfId="9" applyNumberFormat="1" applyFont="1"/>
    <xf numFmtId="0" fontId="11" fillId="6" borderId="2" xfId="1" applyFont="1" applyFill="1" applyBorder="1" applyAlignment="1">
      <alignment horizontal="center" vertical="center"/>
    </xf>
    <xf numFmtId="164" fontId="11" fillId="6" borderId="2" xfId="1" applyNumberFormat="1" applyFont="1" applyFill="1" applyBorder="1" applyAlignment="1">
      <alignment horizontal="center" vertical="center"/>
    </xf>
    <xf numFmtId="1" fontId="11" fillId="6" borderId="2" xfId="1" applyNumberFormat="1" applyFont="1" applyFill="1" applyBorder="1" applyAlignment="1">
      <alignment horizontal="center" vertical="center"/>
    </xf>
    <xf numFmtId="0" fontId="11" fillId="6" borderId="0" xfId="1" applyFont="1" applyFill="1" applyAlignment="1">
      <alignment horizontal="center" vertical="center"/>
    </xf>
    <xf numFmtId="1" fontId="11" fillId="6" borderId="0" xfId="1" applyNumberFormat="1" applyFont="1" applyFill="1" applyAlignment="1">
      <alignment horizontal="center" vertical="center"/>
    </xf>
    <xf numFmtId="0" fontId="11" fillId="0" borderId="0" xfId="9" applyFont="1"/>
    <xf numFmtId="0" fontId="13" fillId="4" borderId="0" xfId="14" applyFont="1" applyFill="1" applyBorder="1" applyProtection="1"/>
    <xf numFmtId="0" fontId="13" fillId="4" borderId="0" xfId="14" applyFont="1" applyFill="1" applyBorder="1" applyAlignment="1" applyProtection="1">
      <alignment horizontal="center"/>
    </xf>
    <xf numFmtId="167" fontId="13" fillId="4" borderId="0" xfId="14" applyNumberFormat="1" applyFont="1" applyFill="1" applyBorder="1" applyAlignment="1" applyProtection="1">
      <alignment horizontal="center"/>
    </xf>
    <xf numFmtId="168" fontId="13" fillId="4" borderId="0" xfId="14" applyNumberFormat="1" applyFont="1" applyFill="1" applyBorder="1" applyAlignment="1" applyProtection="1">
      <alignment horizontal="center"/>
    </xf>
    <xf numFmtId="166" fontId="13" fillId="4" borderId="0" xfId="14" applyNumberFormat="1" applyFont="1" applyFill="1" applyBorder="1" applyAlignment="1" applyProtection="1">
      <alignment horizontal="center"/>
    </xf>
    <xf numFmtId="2" fontId="13" fillId="4" borderId="0" xfId="14" applyNumberFormat="1" applyFont="1" applyFill="1" applyBorder="1" applyAlignment="1" applyProtection="1">
      <alignment horizontal="center"/>
    </xf>
    <xf numFmtId="0" fontId="17" fillId="4" borderId="0" xfId="10" applyFont="1" applyFill="1"/>
    <xf numFmtId="169" fontId="11" fillId="0" borderId="0" xfId="9" applyNumberFormat="1" applyFont="1"/>
    <xf numFmtId="169" fontId="11" fillId="0" borderId="0" xfId="9" applyNumberFormat="1" applyFont="1" applyAlignment="1">
      <alignment horizontal="center"/>
    </xf>
    <xf numFmtId="164" fontId="11" fillId="0" borderId="0" xfId="9" applyNumberFormat="1" applyFont="1" applyAlignment="1">
      <alignment horizontal="center"/>
    </xf>
    <xf numFmtId="168" fontId="11" fillId="0" borderId="0" xfId="9" applyNumberFormat="1" applyFont="1" applyAlignment="1">
      <alignment horizontal="center"/>
    </xf>
    <xf numFmtId="166" fontId="11" fillId="0" borderId="0" xfId="9" applyNumberFormat="1" applyFont="1" applyAlignment="1">
      <alignment horizontal="center"/>
    </xf>
    <xf numFmtId="2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0" fontId="12" fillId="4" borderId="0" xfId="2" applyFont="1" applyFill="1" applyAlignment="1">
      <alignment horizontal="center"/>
    </xf>
    <xf numFmtId="164" fontId="11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/>
    <xf numFmtId="0" fontId="19" fillId="0" borderId="0" xfId="0" applyFont="1" applyAlignment="1">
      <alignment wrapText="1"/>
    </xf>
    <xf numFmtId="0" fontId="0" fillId="0" borderId="0" xfId="0" pivotButton="1"/>
    <xf numFmtId="2" fontId="0" fillId="0" borderId="0" xfId="0" applyNumberFormat="1"/>
    <xf numFmtId="166" fontId="0" fillId="0" borderId="0" xfId="0" applyNumberFormat="1"/>
    <xf numFmtId="0" fontId="21" fillId="7" borderId="0" xfId="1" applyFont="1" applyFill="1" applyAlignment="1">
      <alignment horizontal="center" vertical="center"/>
    </xf>
    <xf numFmtId="1" fontId="21" fillId="7" borderId="0" xfId="1" applyNumberFormat="1" applyFont="1" applyFill="1" applyAlignment="1">
      <alignment horizontal="center" vertical="center"/>
    </xf>
    <xf numFmtId="164" fontId="21" fillId="8" borderId="0" xfId="9" applyNumberFormat="1" applyFont="1" applyFill="1"/>
    <xf numFmtId="164" fontId="21" fillId="8" borderId="0" xfId="9" applyNumberFormat="1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167" fontId="21" fillId="8" borderId="0" xfId="0" applyNumberFormat="1" applyFont="1" applyFill="1" applyAlignment="1">
      <alignment horizontal="center"/>
    </xf>
    <xf numFmtId="168" fontId="21" fillId="8" borderId="0" xfId="0" applyNumberFormat="1" applyFont="1" applyFill="1" applyAlignment="1">
      <alignment horizontal="center"/>
    </xf>
    <xf numFmtId="166" fontId="21" fillId="8" borderId="0" xfId="0" applyNumberFormat="1" applyFont="1" applyFill="1" applyAlignment="1">
      <alignment horizontal="center"/>
    </xf>
    <xf numFmtId="2" fontId="21" fillId="8" borderId="0" xfId="0" applyNumberFormat="1" applyFont="1" applyFill="1" applyAlignment="1">
      <alignment horizontal="center"/>
    </xf>
    <xf numFmtId="0" fontId="21" fillId="8" borderId="0" xfId="0" applyFont="1" applyFill="1"/>
    <xf numFmtId="0" fontId="22" fillId="8" borderId="0" xfId="0" applyFont="1" applyFill="1"/>
    <xf numFmtId="0" fontId="16" fillId="5" borderId="2" xfId="1" applyFont="1" applyFill="1" applyBorder="1" applyAlignment="1">
      <alignment horizontal="center" vertical="center"/>
    </xf>
  </cellXfs>
  <cellStyles count="15">
    <cellStyle name="Geotab Report Field Name" xfId="1" xr:uid="{00000000-0005-0000-0000-000000000000}"/>
    <cellStyle name="Heading 3" xfId="2" xr:uid="{00000000-0005-0000-0000-000001000000}"/>
    <cellStyle name="Normal" xfId="0" builtinId="0"/>
    <cellStyle name="Pivot Table Category" xfId="3" xr:uid="{00000000-0005-0000-0000-000003000000}"/>
    <cellStyle name="Pivot Table Corner" xfId="4" xr:uid="{00000000-0005-0000-0000-000004000000}"/>
    <cellStyle name="Pivot Table Field" xfId="5" xr:uid="{00000000-0005-0000-0000-000005000000}"/>
    <cellStyle name="Pivot Table Result" xfId="6" xr:uid="{00000000-0005-0000-0000-000006000000}"/>
    <cellStyle name="Pivot Table Title" xfId="7" xr:uid="{00000000-0005-0000-0000-000007000000}"/>
    <cellStyle name="Pivot Table Value" xfId="8" xr:uid="{00000000-0005-0000-0000-000008000000}"/>
    <cellStyle name="Report Body" xfId="9" xr:uid="{00000000-0005-0000-0000-000009000000}"/>
    <cellStyle name="Report Column Header" xfId="10" xr:uid="{00000000-0005-0000-0000-00000A000000}"/>
    <cellStyle name="Report Creation DateTime" xfId="11" xr:uid="{00000000-0005-0000-0000-00000B000000}"/>
    <cellStyle name="Report Field Name" xfId="12" xr:uid="{00000000-0005-0000-0000-00000C000000}"/>
    <cellStyle name="Report Name" xfId="13" xr:uid="{00000000-0005-0000-0000-00000D000000}"/>
    <cellStyle name="StandardReportHeading" xfId="14" xr:uid="{00000000-0005-0000-0000-00000E000000}"/>
  </cellStyles>
  <dxfs count="6">
    <dxf>
      <fill>
        <patternFill>
          <bgColor rgb="FFFFDEA3"/>
        </patternFill>
      </fill>
    </dxf>
    <dxf>
      <fill>
        <patternFill>
          <bgColor rgb="FFBDFFBD"/>
        </patternFill>
      </fill>
    </dxf>
    <dxf>
      <fill>
        <patternFill>
          <bgColor rgb="FFFFAAAA"/>
        </patternFill>
      </fill>
    </dxf>
    <dxf>
      <fill>
        <patternFill>
          <bgColor rgb="FFC9D8EF"/>
        </patternFill>
      </fill>
    </dxf>
    <dxf>
      <fill>
        <patternFill>
          <bgColor rgb="FFF2F2F2"/>
        </patternFill>
      </fill>
    </dxf>
    <dxf>
      <font>
        <b/>
        <i val="0"/>
        <color theme="0"/>
      </font>
      <fill>
        <patternFill>
          <bgColor rgb="FF25477B"/>
        </patternFill>
      </fill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PivotTable Style 1" table="0" count="3" xr9:uid="{64C6B90D-9678-403A-80D6-68D05F4F0C62}">
      <tableStyleElement type="headerRow" dxfId="5"/>
      <tableStyleElement type="firstRowStripe" dxfId="4"/>
      <tableStyleElement type="secondRowStripe" dxfId="3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CCFFFF"/>
      <rgbColor rgb="FFBDFFBD"/>
      <rgbColor rgb="FFFFFF99"/>
      <rgbColor rgb="FF99CCFF"/>
      <rgbColor rgb="FFFFAAAA"/>
      <rgbColor rgb="FFCC99FF"/>
      <rgbColor rgb="FFFFDEA3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25477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9D8EF"/>
      <color rgb="FFF2F2F2"/>
      <color rgb="FF2547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YSTEM" refreshedDate="45977.165112962961" createdVersion="8" refreshedVersion="7" minRefreshableVersion="3" recordCount="31" xr:uid="{DD50753D-3D24-4681-9540-5C565B4FE2C8}">
  <cacheSource type="worksheet">
    <worksheetSource name="AllData"/>
  </cacheSource>
  <cacheFields count="16">
    <cacheField name="Device" numFmtId="169">
      <sharedItems count="6">
        <s v="128"/>
        <s v="141"/>
        <s v="3414"/>
        <s v="519"/>
        <s v="536"/>
        <s v="Template Vehicle 1" u="1"/>
      </sharedItems>
    </cacheField>
    <cacheField name="Device Group" numFmtId="169">
      <sharedItems/>
    </cacheField>
    <cacheField name="First Name" numFmtId="169">
      <sharedItems containsMixedTypes="1" containsNumber="1" containsInteger="1" minValue="0" maxValue="0" count="5">
        <n v="0"/>
        <s v="Paul"/>
        <s v="Wayne"/>
        <s v="Tony"/>
        <s v="Template First Name 1" u="1"/>
      </sharedItems>
    </cacheField>
    <cacheField name="Last Name" numFmtId="169">
      <sharedItems containsMixedTypes="1" containsNumber="1" containsInteger="1" minValue="0" maxValue="0" count="5">
        <n v="0"/>
        <s v="Travers"/>
        <s v="Pepperell"/>
        <s v="Abiad"/>
        <s v="Template Last Name 1" u="1"/>
      </sharedItems>
    </cacheField>
    <cacheField name="Driver" numFmtId="169">
      <sharedItems containsMixedTypes="1" containsNumber="1" containsInteger="1" minValue="0" maxValue="0" count="5">
        <n v="0"/>
        <s v="paul.travers"/>
        <s v="wayne.pepperell@unitedcivil.co.nz"/>
        <s v="tony.abiad@unitedcivil.co.nz"/>
        <s v="Template Driver 1" u="1"/>
      </sharedItems>
    </cacheField>
    <cacheField name="Driver Group" numFmtId="169">
      <sharedItems containsMixedTypes="1" containsNumber="1" containsInteger="1" minValue="0" maxValue="0"/>
    </cacheField>
    <cacheField name="Rule" numFmtId="0">
      <sharedItems count="3">
        <s v="Idling &gt;10 mins and  &lt;100 m"/>
        <s v="Idling &gt;5 mins and  &lt;100 m"/>
        <s v="Speeding" u="1"/>
      </sharedItems>
    </cacheField>
    <cacheField name="Location" numFmtId="169">
      <sharedItems/>
    </cacheField>
    <cacheField name="Location Zone Types" numFmtId="169">
      <sharedItems containsMixedTypes="1" containsNumber="1" containsInteger="1" minValue="0" maxValue="0"/>
    </cacheField>
    <cacheField name="Date" numFmtId="164">
      <sharedItems containsSemiMixedTypes="0" containsNonDate="0" containsDate="1" containsString="0" minDate="2025-11-15T07:10:17" maxDate="2025-11-15T20:30:16" count="19">
        <d v="2025-11-15T07:56:48"/>
        <d v="2025-11-15T08:29:34"/>
        <d v="2025-11-15T09:00:27"/>
        <d v="2025-11-15T09:24:09"/>
        <d v="2025-11-15T11:14:17"/>
        <d v="2025-11-15T11:34:56"/>
        <d v="2025-11-15T11:42:07"/>
        <d v="2025-11-15T08:12:17"/>
        <d v="2025-11-15T11:54:33"/>
        <d v="2025-11-15T12:54:48"/>
        <d v="2025-11-15T13:43:18"/>
        <d v="2025-11-15T14:28:55"/>
        <d v="2025-11-15T15:01:40"/>
        <d v="2025-11-15T07:10:17"/>
        <d v="2025-11-15T13:55:08"/>
        <d v="2025-11-15T09:17:24"/>
        <d v="2025-11-15T16:27:35"/>
        <d v="2025-11-15T17:24:06"/>
        <d v="2025-11-15T20:30:16"/>
      </sharedItems>
      <fieldGroup base="9">
        <rangePr groupBy="days" startDate="2025-11-15T07:10:17" endDate="2025-11-15T20:30:16"/>
        <groupItems count="368">
          <s v="&lt;11/15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15/2025"/>
        </groupItems>
      </fieldGroup>
    </cacheField>
    <cacheField name="Start Time" numFmtId="168">
      <sharedItems containsSemiMixedTypes="0" containsNonDate="0" containsDate="1" containsString="0" minDate="2025-11-15T07:10:17" maxDate="2025-11-15T20:30:16"/>
    </cacheField>
    <cacheField name="Duration" numFmtId="166">
      <sharedItems containsSemiMixedTypes="0" containsNonDate="0" containsDate="1" containsString="0" minDate="1899-12-30T00:05:05" maxDate="1899-12-30T01:37:07"/>
    </cacheField>
    <cacheField name="Distance" numFmtId="2">
      <sharedItems containsSemiMixedTypes="0" containsString="0" containsNumber="1" minValue="0" maxValue="9.7542405128479004E-2"/>
    </cacheField>
    <cacheField name="Extra Info" numFmtId="2">
      <sharedItems/>
    </cacheField>
    <cacheField name="Details" numFmtId="169">
      <sharedItems count="3">
        <s v="Idling &gt;10 mins and  &lt;100 m (Ignition: 1.00)"/>
        <s v="Idling &gt;5 mins and  &lt;100 m (Ignition: 1.00)"/>
        <s v="Driving faster than 113 km/h (Max Speed: 131 km/h)" u="1"/>
      </sharedItems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s v="Digger, Diesel, Excavator/Tradestaff, Machines, Trade Staff"/>
    <x v="0"/>
    <x v="0"/>
    <x v="0"/>
    <n v="0"/>
    <x v="0"/>
    <s v="Morningside: 65 Morningside Rd, Northland Region 0110, New Zealand"/>
    <s v="Project"/>
    <x v="0"/>
    <d v="2025-11-15T07:56:48"/>
    <d v="1899-12-30T00:24:03"/>
    <n v="1.2914204970002174E-2"/>
    <s v="Idling &gt;10 mins and  &lt;100 m (Ignition: 1.00)"/>
    <x v="0"/>
    <s v="Valid"/>
  </r>
  <r>
    <x v="0"/>
    <s v="Digger, Diesel, Excavator/Tradestaff, Machines, Trade Staff"/>
    <x v="0"/>
    <x v="0"/>
    <x v="0"/>
    <n v="0"/>
    <x v="1"/>
    <s v="Morningside: 65 Morningside Rd, Northland Region 0110, New Zealand"/>
    <s v="Project"/>
    <x v="0"/>
    <d v="2025-11-15T07:56:48"/>
    <d v="1899-12-30T00:24:03"/>
    <n v="1.2914204970002174E-2"/>
    <s v="Idling &gt;5 mins and  &lt;100 m (Ignition: 1.00)"/>
    <x v="1"/>
    <s v="Valid"/>
  </r>
  <r>
    <x v="0"/>
    <s v="Digger, Diesel, Excavator/Tradestaff, Machines, Trade Staff"/>
    <x v="1"/>
    <x v="1"/>
    <x v="1"/>
    <s v="Excavator/Tradestaff, Grader/Trade Staff, HDV/Trade Staff, Loader/Trade Staff, Roller/Trade Staff, Telehandler/Trade Staff, Trade Staff"/>
    <x v="0"/>
    <s v="Morningside: 74 Morningside Road, Morningside, Whangārei 0110, New Zealand"/>
    <s v="Project"/>
    <x v="1"/>
    <d v="2025-11-15T08:29:34"/>
    <d v="1899-12-30T00:21:29"/>
    <n v="2.974431961774826E-2"/>
    <s v="Idling &gt;10 mins and  &lt;100 m (Ignition: 1.00)"/>
    <x v="0"/>
    <s v="Valid"/>
  </r>
  <r>
    <x v="0"/>
    <s v="Digger, Diesel, Excavator/Tradestaff, Machines, Trade Staff"/>
    <x v="1"/>
    <x v="1"/>
    <x v="1"/>
    <s v="Excavator/Tradestaff, Grader/Trade Staff, HDV/Trade Staff, Loader/Trade Staff, Roller/Trade Staff, Telehandler/Trade Staff, Trade Staff"/>
    <x v="1"/>
    <s v="Morningside: 74 Morningside Road, Morningside, Whangārei 0110, New Zealand"/>
    <s v="Project"/>
    <x v="1"/>
    <d v="2025-11-15T08:29:34"/>
    <d v="1899-12-30T00:21:29"/>
    <n v="2.974431961774826E-2"/>
    <s v="Idling &gt;5 mins and  &lt;100 m (Ignition: 1.00)"/>
    <x v="1"/>
    <s v="Valid"/>
  </r>
  <r>
    <x v="0"/>
    <s v="Digger, Diesel, Excavator/Tradestaff, Machines, Trade Staff"/>
    <x v="1"/>
    <x v="1"/>
    <x v="1"/>
    <s v="Excavator/Tradestaff, Grader/Trade Staff, HDV/Trade Staff, Loader/Trade Staff, Roller/Trade Staff, Telehandler/Trade Staff, Trade Staff"/>
    <x v="0"/>
    <s v="Morningside: 74 Morningside Road, Morningside, Whangārei 0110, New Zealand"/>
    <s v="Project"/>
    <x v="2"/>
    <d v="2025-11-15T09:00:27"/>
    <d v="1899-12-30T00:21:31"/>
    <n v="6.3975170254707336E-2"/>
    <s v="Idling &gt;10 mins and  &lt;100 m (Ignition: 1.00)"/>
    <x v="0"/>
    <s v="Valid"/>
  </r>
  <r>
    <x v="0"/>
    <s v="Digger, Diesel, Excavator/Tradestaff, Machines, Trade Staff"/>
    <x v="1"/>
    <x v="1"/>
    <x v="1"/>
    <s v="Excavator/Tradestaff, Grader/Trade Staff, HDV/Trade Staff, Loader/Trade Staff, Roller/Trade Staff, Telehandler/Trade Staff, Trade Staff"/>
    <x v="1"/>
    <s v="Morningside: 74 Morningside Road, Morningside, Whangārei 0110, New Zealand"/>
    <s v="Project"/>
    <x v="2"/>
    <d v="2025-11-15T09:00:27"/>
    <d v="1899-12-30T00:21:31"/>
    <n v="6.3975170254707336E-2"/>
    <s v="Idling &gt;5 mins and  &lt;100 m (Ignition: 1.00)"/>
    <x v="1"/>
    <s v="Valid"/>
  </r>
  <r>
    <x v="0"/>
    <s v="Digger, Diesel, Excavator/Tradestaff, Machines, Trade Staff"/>
    <x v="1"/>
    <x v="1"/>
    <x v="1"/>
    <s v="Excavator/Tradestaff, Grader/Trade Staff, HDV/Trade Staff, Loader/Trade Staff, Roller/Trade Staff, Telehandler/Trade Staff, Trade Staff"/>
    <x v="1"/>
    <s v="Morningside: 74 Morningside Road, Morningside, Whangārei 0110, New Zealand"/>
    <s v="Project"/>
    <x v="3"/>
    <d v="2025-11-15T09:24:09"/>
    <d v="1899-12-30T00:05:28"/>
    <n v="1.49278175085783E-2"/>
    <s v="Idling &gt;5 mins and  &lt;100 m (Ignition: 1.00)"/>
    <x v="1"/>
    <s v="Valid"/>
  </r>
  <r>
    <x v="0"/>
    <s v="Digger, Diesel, Excavator/Tradestaff, Machines, Trade Staff"/>
    <x v="1"/>
    <x v="1"/>
    <x v="1"/>
    <s v="Excavator/Tradestaff, Grader/Trade Staff, HDV/Trade Staff, Loader/Trade Staff, Roller/Trade Staff, Telehandler/Trade Staff, Trade Staff"/>
    <x v="1"/>
    <s v="Morningside: 74 Morningside Road, Morningside, Whangārei 0110, New Zealand"/>
    <s v="Project"/>
    <x v="4"/>
    <d v="2025-11-15T11:14:17"/>
    <d v="1899-12-30T00:05:35"/>
    <n v="9.2259243130683899E-2"/>
    <s v="Idling &gt;5 mins and  &lt;100 m (Ignition: 1.00)"/>
    <x v="1"/>
    <s v="Valid"/>
  </r>
  <r>
    <x v="0"/>
    <s v="Digger, Diesel, Excavator/Tradestaff, Machines, Trade Staff"/>
    <x v="1"/>
    <x v="1"/>
    <x v="1"/>
    <s v="Excavator/Tradestaff, Grader/Trade Staff, HDV/Trade Staff, Loader/Trade Staff, Roller/Trade Staff, Telehandler/Trade Staff, Trade Staff"/>
    <x v="1"/>
    <s v="Morningside: 74 Morningside Road, Morningside, Whangārei 0110, New Zealand"/>
    <s v="Project"/>
    <x v="5"/>
    <d v="2025-11-15T11:34:56"/>
    <d v="1899-12-30T00:06:09"/>
    <n v="2.4742059409618378E-2"/>
    <s v="Idling &gt;5 mins and  &lt;100 m (Ignition: 1.00)"/>
    <x v="1"/>
    <s v="Valid"/>
  </r>
  <r>
    <x v="0"/>
    <s v="Digger, Diesel, Excavator/Tradestaff, Machines, Trade Staff"/>
    <x v="1"/>
    <x v="1"/>
    <x v="1"/>
    <s v="Excavator/Tradestaff, Grader/Trade Staff, HDV/Trade Staff, Loader/Trade Staff, Roller/Trade Staff, Telehandler/Trade Staff, Trade Staff"/>
    <x v="1"/>
    <s v="Morningside: 74 Morningside Road, Morningside, Whangārei 0110, New Zealand"/>
    <s v="Project"/>
    <x v="6"/>
    <d v="2025-11-15T11:42:07"/>
    <d v="1899-12-30T00:26:34"/>
    <n v="4.2736146599054337E-2"/>
    <s v="Idling &gt;5 mins and  &lt;100 m (Ignition: 1.00)"/>
    <x v="1"/>
    <s v="Valid"/>
  </r>
  <r>
    <x v="0"/>
    <s v="Digger, Diesel, Excavator/Tradestaff, Machines, Trade Staff"/>
    <x v="1"/>
    <x v="1"/>
    <x v="1"/>
    <s v="Excavator/Tradestaff, Grader/Trade Staff, HDV/Trade Staff, Loader/Trade Staff, Roller/Trade Staff, Telehandler/Trade Staff, Trade Staff"/>
    <x v="0"/>
    <s v="Morningside: 74 Morningside Road, Morningside, Whangārei 0110, New Zealand"/>
    <s v="Project"/>
    <x v="6"/>
    <d v="2025-11-15T11:42:07"/>
    <d v="1899-12-30T00:26:34"/>
    <n v="4.2736146599054337E-2"/>
    <s v="Idling &gt;10 mins and  &lt;100 m (Ignition: 1.00)"/>
    <x v="0"/>
    <s v="Valid"/>
  </r>
  <r>
    <x v="1"/>
    <s v="Digger, Excavator/Tradestaff, Machines, Trade Staff"/>
    <x v="0"/>
    <x v="0"/>
    <x v="0"/>
    <n v="0"/>
    <x v="1"/>
    <s v="Morningside: 80 Morningside Road, Morningside, Whangārei 0110, New Zealand"/>
    <s v="Project"/>
    <x v="7"/>
    <d v="2025-11-15T08:12:17"/>
    <d v="1899-12-30T01:37:07"/>
    <n v="0"/>
    <s v="Idling &gt;5 mins and  &lt;100 m (Ignition: 1.00)"/>
    <x v="1"/>
    <s v="Valid"/>
  </r>
  <r>
    <x v="1"/>
    <s v="Digger, Excavator/Tradestaff, Machines, Trade Staff"/>
    <x v="0"/>
    <x v="0"/>
    <x v="0"/>
    <n v="0"/>
    <x v="0"/>
    <s v="Morningside: 80 Morningside Road, Morningside, Whangārei 0110, New Zealand"/>
    <s v="Project"/>
    <x v="7"/>
    <d v="2025-11-15T08:12:17"/>
    <d v="1899-12-30T01:37:07"/>
    <n v="0"/>
    <s v="Idling &gt;10 mins and  &lt;100 m (Ignition: 1.00)"/>
    <x v="0"/>
    <s v="Valid"/>
  </r>
  <r>
    <x v="1"/>
    <s v="Digger, Excavator/Tradestaff, Machines, Trade Staff"/>
    <x v="0"/>
    <x v="0"/>
    <x v="0"/>
    <n v="0"/>
    <x v="1"/>
    <s v="Morningside: 80 Morningside Road, Morningside, Whangārei 0110, New Zealand"/>
    <s v="Project"/>
    <x v="8"/>
    <d v="2025-11-15T11:54:33"/>
    <d v="1899-12-30T00:05:32"/>
    <n v="0"/>
    <s v="Idling &gt;5 mins and  &lt;100 m (Ignition: 1.00)"/>
    <x v="1"/>
    <s v="Valid"/>
  </r>
  <r>
    <x v="1"/>
    <s v="Digger, Excavator/Tradestaff, Machines, Trade Staff"/>
    <x v="0"/>
    <x v="0"/>
    <x v="0"/>
    <n v="0"/>
    <x v="1"/>
    <s v="Morningside: 80 Morningside Road, Morningside, Whangārei 0110, New Zealand"/>
    <s v="Project"/>
    <x v="9"/>
    <d v="2025-11-15T12:54:48"/>
    <d v="1899-12-30T00:40:46"/>
    <n v="0"/>
    <s v="Idling &gt;5 mins and  &lt;100 m (Ignition: 1.00)"/>
    <x v="1"/>
    <s v="Valid"/>
  </r>
  <r>
    <x v="1"/>
    <s v="Digger, Excavator/Tradestaff, Machines, Trade Staff"/>
    <x v="0"/>
    <x v="0"/>
    <x v="0"/>
    <n v="0"/>
    <x v="0"/>
    <s v="Morningside: 80 Morningside Road, Morningside, Whangārei 0110, New Zealand"/>
    <s v="Project"/>
    <x v="9"/>
    <d v="2025-11-15T12:54:48"/>
    <d v="1899-12-30T00:40:46"/>
    <n v="0"/>
    <s v="Idling &gt;10 mins and  &lt;100 m (Ignition: 1.00)"/>
    <x v="0"/>
    <s v="Valid"/>
  </r>
  <r>
    <x v="1"/>
    <s v="Digger, Excavator/Tradestaff, Machines, Trade Staff"/>
    <x v="0"/>
    <x v="0"/>
    <x v="0"/>
    <n v="0"/>
    <x v="1"/>
    <s v="Morningside: 80 Morningside Road, Morningside, Whangārei 0110, New Zealand"/>
    <s v="Project"/>
    <x v="10"/>
    <d v="2025-11-15T13:43:18"/>
    <d v="1899-12-30T00:44:37"/>
    <n v="0"/>
    <s v="Idling &gt;5 mins and  &lt;100 m (Ignition: 1.00)"/>
    <x v="1"/>
    <s v="Valid"/>
  </r>
  <r>
    <x v="1"/>
    <s v="Digger, Excavator/Tradestaff, Machines, Trade Staff"/>
    <x v="0"/>
    <x v="0"/>
    <x v="0"/>
    <n v="0"/>
    <x v="0"/>
    <s v="Morningside: 80 Morningside Road, Morningside, Whangārei 0110, New Zealand"/>
    <s v="Project"/>
    <x v="10"/>
    <d v="2025-11-15T13:43:18"/>
    <d v="1899-12-30T00:44:37"/>
    <n v="0"/>
    <s v="Idling &gt;10 mins and  &lt;100 m (Ignition: 1.00)"/>
    <x v="0"/>
    <s v="Valid"/>
  </r>
  <r>
    <x v="1"/>
    <s v="Digger, Excavator/Tradestaff, Machines, Trade Staff"/>
    <x v="0"/>
    <x v="0"/>
    <x v="0"/>
    <n v="0"/>
    <x v="1"/>
    <s v="Morningside: 80 Morningside Road, Morningside, Whangārei 0110, New Zealand"/>
    <s v="Project"/>
    <x v="11"/>
    <d v="2025-11-15T14:28:55"/>
    <d v="1899-12-30T00:12:11"/>
    <n v="0"/>
    <s v="Idling &gt;5 mins and  &lt;100 m (Ignition: 1.00)"/>
    <x v="1"/>
    <s v="Valid"/>
  </r>
  <r>
    <x v="1"/>
    <s v="Digger, Excavator/Tradestaff, Machines, Trade Staff"/>
    <x v="0"/>
    <x v="0"/>
    <x v="0"/>
    <n v="0"/>
    <x v="0"/>
    <s v="Morningside: 80 Morningside Road, Morningside, Whangārei 0110, New Zealand"/>
    <s v="Project"/>
    <x v="11"/>
    <d v="2025-11-15T14:28:55"/>
    <d v="1899-12-30T00:12:11"/>
    <n v="0"/>
    <s v="Idling &gt;10 mins and  &lt;100 m (Ignition: 1.00)"/>
    <x v="0"/>
    <s v="Valid"/>
  </r>
  <r>
    <x v="1"/>
    <s v="Digger, Excavator/Tradestaff, Machines, Trade Staff"/>
    <x v="0"/>
    <x v="0"/>
    <x v="0"/>
    <n v="0"/>
    <x v="1"/>
    <s v="Morningside: 80 Morningside Road, Morningside, Whangārei 0110, New Zealand"/>
    <s v="Project"/>
    <x v="12"/>
    <d v="2025-11-15T15:01:40"/>
    <d v="1899-12-30T00:57:33"/>
    <n v="0"/>
    <s v="Idling &gt;5 mins and  &lt;100 m (Ignition: 1.00)"/>
    <x v="1"/>
    <s v="Valid"/>
  </r>
  <r>
    <x v="1"/>
    <s v="Digger, Excavator/Tradestaff, Machines, Trade Staff"/>
    <x v="0"/>
    <x v="0"/>
    <x v="0"/>
    <n v="0"/>
    <x v="0"/>
    <s v="Morningside: 80 Morningside Road, Morningside, Whangārei 0110, New Zealand"/>
    <s v="Project"/>
    <x v="12"/>
    <d v="2025-11-15T15:01:40"/>
    <d v="1899-12-30T00:57:33"/>
    <n v="0"/>
    <s v="Idling &gt;10 mins and  &lt;100 m (Ignition: 1.00)"/>
    <x v="0"/>
    <s v="Valid"/>
  </r>
  <r>
    <x v="2"/>
    <s v="Heavy Diesel Vehicles, HDV/Trade Staff, Machines, Trade Staff"/>
    <x v="0"/>
    <x v="0"/>
    <x v="0"/>
    <n v="0"/>
    <x v="1"/>
    <s v="Ruakaka Solar Farm Site 2: 41 Mccathie Road, Ruakākā 0171, New Zealand"/>
    <s v="Project"/>
    <x v="13"/>
    <d v="2025-11-15T07:10:17"/>
    <d v="1899-12-30T00:07:13"/>
    <n v="9.7542405128479004E-2"/>
    <s v="Idling &gt;5 mins and  &lt;100 m (Ignition: 1.00)"/>
    <x v="1"/>
    <s v="Valid"/>
  </r>
  <r>
    <x v="3"/>
    <s v="Light Diesel Vehicles, Diesel, LDV/PM, PM"/>
    <x v="2"/>
    <x v="2"/>
    <x v="2"/>
    <s v="LDV/PM, PM"/>
    <x v="1"/>
    <s v="26 Angus Lane, Te Kamo, Whangārei 0112, New Zealand"/>
    <n v="0"/>
    <x v="14"/>
    <d v="2025-11-15T13:55:08"/>
    <d v="1899-12-30T00:05:05"/>
    <n v="5.4281525313854218E-2"/>
    <s v="Idling &gt;5 mins and  &lt;100 m (Ignition: 1.00)"/>
    <x v="1"/>
    <s v="Valid"/>
  </r>
  <r>
    <x v="4"/>
    <s v="Electric Vehicles, Battery Electric Vehicle, EV/Other Management, Other Management"/>
    <x v="3"/>
    <x v="3"/>
    <x v="3"/>
    <s v="EV/Other Management, Other Management"/>
    <x v="1"/>
    <s v="510 Hart Drive, Frimley, Hastings 4120, New Zealand"/>
    <n v="0"/>
    <x v="15"/>
    <d v="2025-11-15T09:17:24"/>
    <d v="1899-12-30T00:19:51"/>
    <n v="0"/>
    <s v="Idling &gt;5 mins and  &lt;100 m (Ignition: 1.00)"/>
    <x v="1"/>
    <s v="Valid"/>
  </r>
  <r>
    <x v="4"/>
    <s v="Electric Vehicles, Battery Electric Vehicle, EV/Other Management, Other Management"/>
    <x v="3"/>
    <x v="3"/>
    <x v="3"/>
    <s v="EV/Other Management, Other Management"/>
    <x v="0"/>
    <s v="510 Hart Drive, Frimley, Hastings 4120, New Zealand"/>
    <n v="0"/>
    <x v="15"/>
    <d v="2025-11-15T09:17:24"/>
    <d v="1899-12-30T00:19:51"/>
    <n v="0"/>
    <s v="Idling &gt;10 mins and  &lt;100 m (Ignition: 1.00)"/>
    <x v="0"/>
    <s v="Valid"/>
  </r>
  <r>
    <x v="4"/>
    <s v="Electric Vehicles, Battery Electric Vehicle, EV/Other Management, Other Management"/>
    <x v="3"/>
    <x v="3"/>
    <x v="3"/>
    <s v="EV/Other Management, Other Management"/>
    <x v="0"/>
    <s v="510 Hart Drive, Frimley, Hastings 4120, New Zealand"/>
    <n v="0"/>
    <x v="16"/>
    <d v="2025-11-15T16:27:35"/>
    <d v="1899-12-30T00:17:48"/>
    <n v="0"/>
    <s v="Idling &gt;10 mins and  &lt;100 m (Ignition: 1.00)"/>
    <x v="0"/>
    <s v="Valid"/>
  </r>
  <r>
    <x v="4"/>
    <s v="Electric Vehicles, Battery Electric Vehicle, EV/Other Management, Other Management"/>
    <x v="3"/>
    <x v="3"/>
    <x v="3"/>
    <s v="EV/Other Management, Other Management"/>
    <x v="1"/>
    <s v="510 Hart Drive, Frimley, Hastings 4120, New Zealand"/>
    <n v="0"/>
    <x v="16"/>
    <d v="2025-11-15T16:27:35"/>
    <d v="1899-12-30T00:17:48"/>
    <n v="0"/>
    <s v="Idling &gt;5 mins and  &lt;100 m (Ignition: 1.00)"/>
    <x v="1"/>
    <s v="Valid"/>
  </r>
  <r>
    <x v="4"/>
    <s v="Electric Vehicles, Battery Electric Vehicle, EV/Other Management, Other Management"/>
    <x v="3"/>
    <x v="3"/>
    <x v="3"/>
    <s v="EV/Other Management, Other Management"/>
    <x v="1"/>
    <s v="510 Hart Drive, Frimley, Hastings 4120, New Zealand"/>
    <n v="0"/>
    <x v="17"/>
    <d v="2025-11-15T17:24:06"/>
    <d v="1899-12-30T00:09:58"/>
    <n v="0"/>
    <s v="Idling &gt;5 mins and  &lt;100 m (Ignition: 1.00)"/>
    <x v="1"/>
    <s v="Valid"/>
  </r>
  <r>
    <x v="4"/>
    <s v="Electric Vehicles, Battery Electric Vehicle, EV/Other Management, Other Management"/>
    <x v="3"/>
    <x v="3"/>
    <x v="3"/>
    <s v="EV/Other Management, Other Management"/>
    <x v="1"/>
    <s v="510 Hart Drive, Frimley, Hastings 4120, New Zealand"/>
    <n v="0"/>
    <x v="18"/>
    <d v="2025-11-15T20:30:16"/>
    <d v="1899-12-30T00:17:32"/>
    <n v="0"/>
    <s v="Idling &gt;5 mins and  &lt;100 m (Ignition: 1.00)"/>
    <x v="1"/>
    <s v="Valid"/>
  </r>
  <r>
    <x v="4"/>
    <s v="Electric Vehicles, Battery Electric Vehicle, EV/Other Management, Other Management"/>
    <x v="3"/>
    <x v="3"/>
    <x v="3"/>
    <s v="EV/Other Management, Other Management"/>
    <x v="0"/>
    <s v="510 Hart Drive, Frimley, Hastings 4120, New Zealand"/>
    <n v="0"/>
    <x v="18"/>
    <d v="2025-11-15T20:30:16"/>
    <d v="1899-12-30T00:17:32"/>
    <n v="0"/>
    <s v="Idling &gt;10 mins and  &lt;100 m (Ignition: 1.00)"/>
    <x v="0"/>
    <s v="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64A51-08FD-4845-97C0-700300B80735}" name="PivotTable1" cacheId="360" applyNumberFormats="0" applyBorderFormats="0" applyFontFormats="0" applyPatternFormats="0" applyAlignmentFormats="0" applyWidthHeightFormats="1" dataCaption="Values" updatedVersion="7" minRefreshableVersion="3" showDrill="0" itemPrintTitles="1" createdVersion="8" indent="0" compact="0" compactData="0">
  <location ref="A13:H25" firstHeaderRow="1" firstDataRow="2" firstDataCol="6"/>
  <pivotFields count="16">
    <pivotField axis="axisRow" compact="0" outline="0" showAll="0" defaultSubtotal="0">
      <items count="6">
        <item m="1" x="5"/>
        <item x="0"/>
        <item x="1"/>
        <item x="2"/>
        <item x="3"/>
        <item x="4"/>
      </items>
    </pivotField>
    <pivotField compact="0" outline="0" showAll="0"/>
    <pivotField axis="axisRow" compact="0" outline="0" showAll="0" defaultSubtotal="0">
      <items count="5">
        <item m="1" x="4"/>
        <item x="0"/>
        <item x="1"/>
        <item x="2"/>
        <item x="3"/>
      </items>
    </pivotField>
    <pivotField axis="axisRow" compact="0" outline="0" showAll="0" defaultSubtotal="0">
      <items count="5">
        <item m="1" x="4"/>
        <item x="0"/>
        <item x="1"/>
        <item x="2"/>
        <item x="3"/>
      </items>
    </pivotField>
    <pivotField axis="axisRow"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/>
    <pivotField axis="axisRow" compact="0" outline="0" showAll="0" defaultSubtotal="0">
      <items count="3">
        <item m="1" x="2"/>
        <item x="0"/>
        <item x="1"/>
      </items>
    </pivotField>
    <pivotField compact="0" outline="0" showAll="0"/>
    <pivotField compact="0" outline="0" showAll="0"/>
    <pivotField compact="0" numFmtId="164" outline="0" showAll="0"/>
    <pivotField compact="0" numFmtId="168" outline="0" showAll="0"/>
    <pivotField name="**Duration2" dataField="1" compact="0" numFmtId="166" outline="0" showAll="0"/>
    <pivotField name="**Distance2" dataField="1" compact="0" numFmtId="2" outline="0" showAll="0"/>
    <pivotField compact="0" outline="0" showAll="0"/>
    <pivotField axis="axisRow" compact="0" outline="0" showAll="0" defaultSubtotal="0">
      <items count="3">
        <item m="1" x="2"/>
        <item x="0"/>
        <item x="1"/>
      </items>
    </pivotField>
    <pivotField compact="0" outline="0" showAll="0"/>
  </pivotFields>
  <rowFields count="6">
    <field x="0"/>
    <field x="2"/>
    <field x="3"/>
    <field x="4"/>
    <field x="6"/>
    <field x="14"/>
  </rowFields>
  <rowItems count="11">
    <i>
      <x v="1"/>
      <x v="1"/>
      <x v="1"/>
      <x v="1"/>
      <x v="1"/>
      <x v="1"/>
    </i>
    <i r="4">
      <x v="2"/>
      <x v="2"/>
    </i>
    <i r="1">
      <x v="2"/>
      <x v="2"/>
      <x v="2"/>
      <x v="1"/>
      <x v="1"/>
    </i>
    <i r="4">
      <x v="2"/>
      <x v="2"/>
    </i>
    <i>
      <x v="2"/>
      <x v="1"/>
      <x v="1"/>
      <x v="1"/>
      <x v="1"/>
      <x v="1"/>
    </i>
    <i r="4">
      <x v="2"/>
      <x v="2"/>
    </i>
    <i>
      <x v="3"/>
      <x v="1"/>
      <x v="1"/>
      <x v="1"/>
      <x v="2"/>
      <x v="2"/>
    </i>
    <i>
      <x v="4"/>
      <x v="3"/>
      <x v="3"/>
      <x v="3"/>
      <x v="2"/>
      <x v="2"/>
    </i>
    <i>
      <x v="5"/>
      <x v="4"/>
      <x v="4"/>
      <x v="4"/>
      <x v="1"/>
      <x v="1"/>
    </i>
    <i r="4">
      <x v="2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Distance" fld="12" baseField="14" baseItem="0" numFmtId="2"/>
    <dataField name="Duration" fld="11" baseField="14" baseItem="0" numFmtId="166"/>
  </dataFields>
  <pivotTableStyleInfo name="PivotTable Style 1" showRowHeaders="0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42"/>
  <sheetViews>
    <sheetView topLeftCell="C1" zoomScaleNormal="100" workbookViewId="0">
      <pane ySplit="11" topLeftCell="A12" activePane="bottomLeft" state="frozen"/>
      <selection activeCell="M1" sqref="M1"/>
      <selection pane="bottomLeft" activeCell="E12" sqref="E12"/>
    </sheetView>
  </sheetViews>
  <sheetFormatPr defaultColWidth="8.85546875" defaultRowHeight="12.75"/>
  <cols>
    <col min="1" max="1" width="16" customWidth="1"/>
    <col min="2" max="2" width="18.42578125" customWidth="1"/>
    <col min="3" max="3" width="12.85546875" customWidth="1"/>
    <col min="4" max="7" width="15.42578125" customWidth="1"/>
    <col min="8" max="8" width="17.42578125" customWidth="1"/>
    <col min="9" max="9" width="12.42578125" customWidth="1"/>
    <col min="10" max="10" width="18.140625" customWidth="1"/>
    <col min="11" max="11" width="13" customWidth="1"/>
    <col min="12" max="12" width="15.140625" customWidth="1"/>
    <col min="13" max="13" width="16.42578125" customWidth="1"/>
    <col min="14" max="14" width="15.42578125" customWidth="1"/>
    <col min="15" max="15" width="12.42578125" customWidth="1"/>
    <col min="16" max="16" width="37.42578125" customWidth="1"/>
    <col min="17" max="18" width="21.42578125" customWidth="1"/>
    <col min="19" max="19" width="18.42578125" customWidth="1"/>
    <col min="20" max="21" width="10.42578125" customWidth="1"/>
    <col min="22" max="22" width="15.140625" customWidth="1"/>
    <col min="23" max="23" width="38" customWidth="1"/>
    <col min="24" max="24" width="24.42578125" customWidth="1"/>
  </cols>
  <sheetData>
    <row r="1" spans="1:24">
      <c r="A1" s="1" t="s">
        <v>0</v>
      </c>
      <c r="B1" s="2" t="s">
        <v>567</v>
      </c>
    </row>
    <row r="2" spans="1:24">
      <c r="A2" s="1" t="s">
        <v>1</v>
      </c>
      <c r="B2" s="2">
        <v>45977.706717870373</v>
      </c>
    </row>
    <row r="3" spans="1:24">
      <c r="A3" s="1" t="s">
        <v>2</v>
      </c>
      <c r="B3" s="2">
        <v>45976</v>
      </c>
    </row>
    <row r="4" spans="1:24">
      <c r="A4" s="1" t="s">
        <v>3</v>
      </c>
      <c r="B4" s="2">
        <v>45976.999988425923</v>
      </c>
    </row>
    <row r="5" spans="1:24">
      <c r="A5" s="1" t="s">
        <v>4</v>
      </c>
      <c r="B5" s="2" t="s">
        <v>568</v>
      </c>
    </row>
    <row r="6" spans="1:24">
      <c r="A6" s="1" t="s">
        <v>5</v>
      </c>
      <c r="B6" s="2" t="s">
        <v>6</v>
      </c>
    </row>
    <row r="7" spans="1:24">
      <c r="A7" s="1" t="s">
        <v>7</v>
      </c>
      <c r="B7" s="2" t="s">
        <v>8</v>
      </c>
    </row>
    <row r="8" spans="1:24">
      <c r="A8" s="1" t="s">
        <v>9</v>
      </c>
      <c r="B8" s="2" t="b">
        <f>TRUE()</f>
        <v>1</v>
      </c>
    </row>
    <row r="9" spans="1:24">
      <c r="A9" s="1" t="s">
        <v>10</v>
      </c>
      <c r="B9" s="2" t="s">
        <v>569</v>
      </c>
    </row>
    <row r="10" spans="1:24">
      <c r="A10" s="1" t="s">
        <v>11</v>
      </c>
      <c r="B10" s="2" t="s">
        <v>12</v>
      </c>
    </row>
    <row r="11" spans="1:24" ht="26.25" customHeight="1">
      <c r="A11" s="3" t="s">
        <v>13</v>
      </c>
      <c r="B11" s="3" t="s">
        <v>14</v>
      </c>
      <c r="C11" s="3" t="s">
        <v>15</v>
      </c>
      <c r="D11" s="3" t="s">
        <v>16</v>
      </c>
      <c r="E11" s="3" t="s">
        <v>423</v>
      </c>
      <c r="F11" s="3" t="s">
        <v>17</v>
      </c>
      <c r="G11" s="3" t="s">
        <v>18</v>
      </c>
      <c r="H11" s="3" t="s">
        <v>19</v>
      </c>
      <c r="I11" s="3" t="s">
        <v>20</v>
      </c>
      <c r="J11" s="3" t="s">
        <v>21</v>
      </c>
      <c r="K11" s="3" t="s">
        <v>22</v>
      </c>
      <c r="L11" s="3" t="s">
        <v>424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</row>
    <row r="12" spans="1:24">
      <c r="A12" s="4" t="s">
        <v>570</v>
      </c>
      <c r="B12" s="4" t="s">
        <v>571</v>
      </c>
      <c r="C12" s="4" t="s">
        <v>572</v>
      </c>
      <c r="D12" s="4" t="s">
        <v>573</v>
      </c>
      <c r="E12" s="4" t="s">
        <v>574</v>
      </c>
      <c r="M12" s="4" t="s">
        <v>575</v>
      </c>
      <c r="N12" s="4">
        <v>174.32331848144531</v>
      </c>
      <c r="O12" s="4">
        <v>-35.735591888427734</v>
      </c>
      <c r="P12" s="4" t="s">
        <v>576</v>
      </c>
      <c r="Q12" s="4" t="s">
        <v>577</v>
      </c>
      <c r="R12" s="4"/>
      <c r="S12" s="2">
        <v>45976.331114733795</v>
      </c>
      <c r="T12" s="5">
        <v>1.6699953703703703E-2</v>
      </c>
      <c r="U12" s="4">
        <v>1.2914204970002174E-2</v>
      </c>
      <c r="V12" s="4" t="s">
        <v>578</v>
      </c>
      <c r="W12" s="4" t="s">
        <v>575</v>
      </c>
      <c r="X12" s="6" t="s">
        <v>579</v>
      </c>
    </row>
    <row r="13" spans="1:24">
      <c r="A13" s="4" t="s">
        <v>570</v>
      </c>
      <c r="B13" s="4" t="s">
        <v>571</v>
      </c>
      <c r="C13" s="4" t="s">
        <v>572</v>
      </c>
      <c r="D13" s="4" t="s">
        <v>573</v>
      </c>
      <c r="E13" s="4" t="s">
        <v>574</v>
      </c>
      <c r="M13" s="4" t="s">
        <v>580</v>
      </c>
      <c r="N13" s="4">
        <v>174.32331848144531</v>
      </c>
      <c r="O13" s="4">
        <v>-35.735591888427734</v>
      </c>
      <c r="P13" s="4" t="s">
        <v>576</v>
      </c>
      <c r="Q13" s="4" t="s">
        <v>577</v>
      </c>
      <c r="S13" s="2">
        <v>45976.331114733795</v>
      </c>
      <c r="T13" s="5">
        <v>1.6699953703703703E-2</v>
      </c>
      <c r="U13" s="4">
        <v>1.2914204970002174E-2</v>
      </c>
      <c r="V13" s="4" t="s">
        <v>578</v>
      </c>
      <c r="W13" s="4" t="s">
        <v>580</v>
      </c>
      <c r="X13" s="6" t="s">
        <v>579</v>
      </c>
    </row>
    <row r="14" spans="1:24">
      <c r="A14" s="4" t="s">
        <v>570</v>
      </c>
      <c r="B14" s="4" t="s">
        <v>571</v>
      </c>
      <c r="C14" s="4" t="s">
        <v>572</v>
      </c>
      <c r="D14" s="4" t="s">
        <v>573</v>
      </c>
      <c r="E14" s="4" t="s">
        <v>574</v>
      </c>
      <c r="F14" s="4" t="s">
        <v>581</v>
      </c>
      <c r="G14" s="4" t="s">
        <v>582</v>
      </c>
      <c r="H14" s="4" t="s">
        <v>583</v>
      </c>
      <c r="I14" s="4" t="s">
        <v>584</v>
      </c>
      <c r="J14" s="4"/>
      <c r="K14" s="4" t="s">
        <v>585</v>
      </c>
      <c r="L14" s="4" t="s">
        <v>585</v>
      </c>
      <c r="M14" s="4" t="s">
        <v>575</v>
      </c>
      <c r="N14" s="4">
        <v>174.32240295410156</v>
      </c>
      <c r="O14" s="4">
        <v>-35.735683441162109</v>
      </c>
      <c r="P14" s="4" t="s">
        <v>586</v>
      </c>
      <c r="Q14" s="4" t="s">
        <v>577</v>
      </c>
      <c r="S14" s="2">
        <v>45976.353866238424</v>
      </c>
      <c r="T14" s="5">
        <v>1.492193287037037E-2</v>
      </c>
      <c r="U14" s="4">
        <v>2.974431961774826E-2</v>
      </c>
      <c r="V14" s="4" t="s">
        <v>578</v>
      </c>
      <c r="W14" s="4" t="s">
        <v>575</v>
      </c>
      <c r="X14" s="6" t="s">
        <v>579</v>
      </c>
    </row>
    <row r="15" spans="1:24">
      <c r="A15" s="4" t="s">
        <v>570</v>
      </c>
      <c r="B15" s="4" t="s">
        <v>571</v>
      </c>
      <c r="C15" s="4" t="s">
        <v>572</v>
      </c>
      <c r="D15" s="4" t="s">
        <v>573</v>
      </c>
      <c r="E15" s="4" t="s">
        <v>574</v>
      </c>
      <c r="F15" s="4" t="s">
        <v>581</v>
      </c>
      <c r="G15" s="4" t="s">
        <v>582</v>
      </c>
      <c r="H15" s="4" t="s">
        <v>583</v>
      </c>
      <c r="I15" s="4" t="s">
        <v>584</v>
      </c>
      <c r="K15" s="4" t="s">
        <v>585</v>
      </c>
      <c r="L15" s="4" t="s">
        <v>585</v>
      </c>
      <c r="M15" s="4" t="s">
        <v>580</v>
      </c>
      <c r="N15" s="4">
        <v>174.32240295410156</v>
      </c>
      <c r="O15" s="4">
        <v>-35.735683441162109</v>
      </c>
      <c r="P15" s="4" t="s">
        <v>586</v>
      </c>
      <c r="Q15" s="4" t="s">
        <v>577</v>
      </c>
      <c r="S15" s="2">
        <v>45976.353866238424</v>
      </c>
      <c r="T15" s="5">
        <v>1.492193287037037E-2</v>
      </c>
      <c r="U15" s="4">
        <v>2.974431961774826E-2</v>
      </c>
      <c r="V15" s="4" t="s">
        <v>578</v>
      </c>
      <c r="W15" s="4" t="s">
        <v>580</v>
      </c>
      <c r="X15" s="6" t="s">
        <v>579</v>
      </c>
    </row>
    <row r="16" spans="1:24">
      <c r="A16" s="4" t="s">
        <v>570</v>
      </c>
      <c r="B16" s="4" t="s">
        <v>571</v>
      </c>
      <c r="C16" s="4" t="s">
        <v>572</v>
      </c>
      <c r="D16" s="4" t="s">
        <v>573</v>
      </c>
      <c r="E16" s="4" t="s">
        <v>574</v>
      </c>
      <c r="F16" s="4" t="s">
        <v>581</v>
      </c>
      <c r="G16" s="4" t="s">
        <v>582</v>
      </c>
      <c r="H16" s="4" t="s">
        <v>583</v>
      </c>
      <c r="I16" s="4" t="s">
        <v>584</v>
      </c>
      <c r="K16" s="4" t="s">
        <v>585</v>
      </c>
      <c r="L16" s="4" t="s">
        <v>585</v>
      </c>
      <c r="M16" s="4" t="s">
        <v>575</v>
      </c>
      <c r="N16" s="4">
        <v>174.32241821289063</v>
      </c>
      <c r="O16" s="4">
        <v>-35.735702514648438</v>
      </c>
      <c r="P16" s="4" t="s">
        <v>586</v>
      </c>
      <c r="Q16" s="4" t="s">
        <v>577</v>
      </c>
      <c r="S16" s="2">
        <v>45976.375317465281</v>
      </c>
      <c r="T16" s="5">
        <v>1.4943229166666667E-2</v>
      </c>
      <c r="U16" s="4">
        <v>6.3975170254707336E-2</v>
      </c>
      <c r="V16" s="4" t="s">
        <v>578</v>
      </c>
      <c r="W16" s="4" t="s">
        <v>575</v>
      </c>
      <c r="X16" s="6" t="s">
        <v>579</v>
      </c>
    </row>
    <row r="17" spans="1:24">
      <c r="A17" s="4" t="s">
        <v>570</v>
      </c>
      <c r="B17" s="4" t="s">
        <v>571</v>
      </c>
      <c r="C17" s="4" t="s">
        <v>572</v>
      </c>
      <c r="D17" s="4" t="s">
        <v>573</v>
      </c>
      <c r="E17" s="4" t="s">
        <v>574</v>
      </c>
      <c r="F17" s="4" t="s">
        <v>581</v>
      </c>
      <c r="G17" s="4" t="s">
        <v>582</v>
      </c>
      <c r="H17" s="4" t="s">
        <v>583</v>
      </c>
      <c r="I17" s="4" t="s">
        <v>584</v>
      </c>
      <c r="K17" s="4" t="s">
        <v>585</v>
      </c>
      <c r="L17" s="4" t="s">
        <v>585</v>
      </c>
      <c r="M17" s="4" t="s">
        <v>580</v>
      </c>
      <c r="N17" s="4">
        <v>174.32241821289063</v>
      </c>
      <c r="O17" s="4">
        <v>-35.735702514648438</v>
      </c>
      <c r="P17" s="4" t="s">
        <v>586</v>
      </c>
      <c r="Q17" s="4" t="s">
        <v>577</v>
      </c>
      <c r="S17" s="2">
        <v>45976.375317465281</v>
      </c>
      <c r="T17" s="5">
        <v>1.4943229166666667E-2</v>
      </c>
      <c r="U17" s="4">
        <v>6.3975170254707336E-2</v>
      </c>
      <c r="V17" s="4" t="s">
        <v>578</v>
      </c>
      <c r="W17" s="4" t="s">
        <v>580</v>
      </c>
      <c r="X17" s="6" t="s">
        <v>579</v>
      </c>
    </row>
    <row r="18" spans="1:24">
      <c r="A18" s="4" t="s">
        <v>570</v>
      </c>
      <c r="B18" s="4" t="s">
        <v>571</v>
      </c>
      <c r="C18" s="4" t="s">
        <v>572</v>
      </c>
      <c r="D18" s="4" t="s">
        <v>573</v>
      </c>
      <c r="E18" s="4" t="s">
        <v>574</v>
      </c>
      <c r="F18" s="4" t="s">
        <v>581</v>
      </c>
      <c r="G18" s="4" t="s">
        <v>582</v>
      </c>
      <c r="H18" s="4" t="s">
        <v>583</v>
      </c>
      <c r="I18" s="4" t="s">
        <v>584</v>
      </c>
      <c r="K18" s="4" t="s">
        <v>585</v>
      </c>
      <c r="L18" s="4" t="s">
        <v>585</v>
      </c>
      <c r="M18" s="4" t="s">
        <v>580</v>
      </c>
      <c r="N18" s="4">
        <v>174.32240295410156</v>
      </c>
      <c r="O18" s="4">
        <v>-35.735668182373047</v>
      </c>
      <c r="P18" s="4" t="s">
        <v>586</v>
      </c>
      <c r="Q18" s="4" t="s">
        <v>577</v>
      </c>
      <c r="S18" s="2">
        <v>45976.391765497683</v>
      </c>
      <c r="T18" s="5">
        <v>3.7944212962962962E-3</v>
      </c>
      <c r="U18" s="4">
        <v>1.49278175085783E-2</v>
      </c>
      <c r="V18" s="4" t="s">
        <v>578</v>
      </c>
      <c r="W18" s="4" t="s">
        <v>580</v>
      </c>
      <c r="X18" s="6" t="s">
        <v>579</v>
      </c>
    </row>
    <row r="19" spans="1:24">
      <c r="A19" s="4" t="s">
        <v>570</v>
      </c>
      <c r="B19" s="4" t="s">
        <v>571</v>
      </c>
      <c r="C19" s="4" t="s">
        <v>572</v>
      </c>
      <c r="D19" s="4" t="s">
        <v>573</v>
      </c>
      <c r="E19" s="4" t="s">
        <v>574</v>
      </c>
      <c r="F19" s="4" t="s">
        <v>581</v>
      </c>
      <c r="G19" s="4" t="s">
        <v>582</v>
      </c>
      <c r="H19" s="4" t="s">
        <v>583</v>
      </c>
      <c r="I19" s="4" t="s">
        <v>584</v>
      </c>
      <c r="K19" s="4" t="s">
        <v>585</v>
      </c>
      <c r="L19" s="4" t="s">
        <v>585</v>
      </c>
      <c r="M19" s="4" t="s">
        <v>580</v>
      </c>
      <c r="N19" s="4">
        <v>174.32240295410156</v>
      </c>
      <c r="O19" s="4">
        <v>-35.735675811767578</v>
      </c>
      <c r="P19" s="4" t="s">
        <v>586</v>
      </c>
      <c r="Q19" s="4" t="s">
        <v>577</v>
      </c>
      <c r="S19" s="2">
        <v>45976.468257291664</v>
      </c>
      <c r="T19" s="5">
        <v>3.8735416666666666E-3</v>
      </c>
      <c r="U19" s="4">
        <v>9.2259243130683899E-2</v>
      </c>
      <c r="V19" s="4" t="s">
        <v>578</v>
      </c>
      <c r="W19" s="4" t="s">
        <v>580</v>
      </c>
      <c r="X19" s="6" t="s">
        <v>579</v>
      </c>
    </row>
    <row r="20" spans="1:24">
      <c r="A20" s="4" t="s">
        <v>570</v>
      </c>
      <c r="B20" s="4" t="s">
        <v>571</v>
      </c>
      <c r="C20" s="4" t="s">
        <v>572</v>
      </c>
      <c r="D20" s="4" t="s">
        <v>573</v>
      </c>
      <c r="E20" s="4" t="s">
        <v>574</v>
      </c>
      <c r="F20" s="4" t="s">
        <v>581</v>
      </c>
      <c r="G20" s="4" t="s">
        <v>582</v>
      </c>
      <c r="H20" s="4" t="s">
        <v>583</v>
      </c>
      <c r="I20" s="4" t="s">
        <v>584</v>
      </c>
      <c r="K20" s="4" t="s">
        <v>585</v>
      </c>
      <c r="L20" s="4" t="s">
        <v>585</v>
      </c>
      <c r="M20" s="4" t="s">
        <v>580</v>
      </c>
      <c r="N20" s="4">
        <v>174.3223876953125</v>
      </c>
      <c r="O20" s="4">
        <v>-35.735641479492188</v>
      </c>
      <c r="P20" s="4" t="s">
        <v>586</v>
      </c>
      <c r="Q20" s="4" t="s">
        <v>577</v>
      </c>
      <c r="S20" s="2">
        <v>45976.482595914349</v>
      </c>
      <c r="T20" s="5">
        <v>4.2746527777777774E-3</v>
      </c>
      <c r="U20" s="4">
        <v>2.4742059409618378E-2</v>
      </c>
      <c r="V20" s="4" t="s">
        <v>578</v>
      </c>
      <c r="W20" s="4" t="s">
        <v>580</v>
      </c>
      <c r="X20" s="6" t="s">
        <v>579</v>
      </c>
    </row>
    <row r="21" spans="1:24">
      <c r="A21" s="4" t="s">
        <v>570</v>
      </c>
      <c r="B21" s="4" t="s">
        <v>571</v>
      </c>
      <c r="C21" s="4" t="s">
        <v>572</v>
      </c>
      <c r="D21" s="4" t="s">
        <v>573</v>
      </c>
      <c r="E21" s="4" t="s">
        <v>574</v>
      </c>
      <c r="F21" s="4" t="s">
        <v>581</v>
      </c>
      <c r="G21" s="4" t="s">
        <v>582</v>
      </c>
      <c r="H21" s="4" t="s">
        <v>583</v>
      </c>
      <c r="I21" s="4" t="s">
        <v>584</v>
      </c>
      <c r="K21" s="4" t="s">
        <v>585</v>
      </c>
      <c r="L21" s="4" t="s">
        <v>585</v>
      </c>
      <c r="M21" s="4" t="s">
        <v>580</v>
      </c>
      <c r="N21" s="4">
        <v>174.32240295410156</v>
      </c>
      <c r="O21" s="4">
        <v>-35.735679626464844</v>
      </c>
      <c r="P21" s="4" t="s">
        <v>586</v>
      </c>
      <c r="Q21" s="4" t="s">
        <v>577</v>
      </c>
      <c r="S21" s="2">
        <v>45976.487577129628</v>
      </c>
      <c r="T21" s="5">
        <v>1.8453368055555554E-2</v>
      </c>
      <c r="U21" s="4">
        <v>4.2736146599054337E-2</v>
      </c>
      <c r="V21" s="4" t="s">
        <v>578</v>
      </c>
      <c r="W21" s="4" t="s">
        <v>580</v>
      </c>
      <c r="X21" s="6" t="s">
        <v>579</v>
      </c>
    </row>
    <row r="22" spans="1:24">
      <c r="A22" s="4" t="s">
        <v>570</v>
      </c>
      <c r="B22" s="4" t="s">
        <v>571</v>
      </c>
      <c r="C22" s="4" t="s">
        <v>572</v>
      </c>
      <c r="D22" s="4" t="s">
        <v>573</v>
      </c>
      <c r="E22" s="4" t="s">
        <v>574</v>
      </c>
      <c r="F22" s="4" t="s">
        <v>581</v>
      </c>
      <c r="G22" s="4" t="s">
        <v>582</v>
      </c>
      <c r="H22" s="4" t="s">
        <v>583</v>
      </c>
      <c r="I22" s="4" t="s">
        <v>584</v>
      </c>
      <c r="K22" s="4" t="s">
        <v>585</v>
      </c>
      <c r="L22" s="4" t="s">
        <v>585</v>
      </c>
      <c r="M22" s="4" t="s">
        <v>575</v>
      </c>
      <c r="N22" s="4">
        <v>174.32240295410156</v>
      </c>
      <c r="O22" s="4">
        <v>-35.735679626464844</v>
      </c>
      <c r="P22" s="4" t="s">
        <v>586</v>
      </c>
      <c r="Q22" s="4" t="s">
        <v>577</v>
      </c>
      <c r="S22" s="2">
        <v>45976.487577129628</v>
      </c>
      <c r="T22" s="5">
        <v>1.8453368055555554E-2</v>
      </c>
      <c r="U22" s="4">
        <v>4.2736146599054337E-2</v>
      </c>
      <c r="V22" s="4" t="s">
        <v>578</v>
      </c>
      <c r="W22" s="4" t="s">
        <v>575</v>
      </c>
      <c r="X22" s="6" t="s">
        <v>579</v>
      </c>
    </row>
    <row r="23" spans="1:24">
      <c r="A23" s="4" t="s">
        <v>587</v>
      </c>
      <c r="B23" s="4" t="s">
        <v>588</v>
      </c>
      <c r="C23" s="4" t="s">
        <v>589</v>
      </c>
      <c r="D23" s="4" t="s">
        <v>590</v>
      </c>
      <c r="E23" s="4" t="s">
        <v>590</v>
      </c>
      <c r="M23" s="4" t="s">
        <v>580</v>
      </c>
      <c r="N23" s="4">
        <v>174.32270812988281</v>
      </c>
      <c r="O23" s="4">
        <v>-35.735782623291016</v>
      </c>
      <c r="P23" s="4" t="s">
        <v>591</v>
      </c>
      <c r="Q23" s="4" t="s">
        <v>577</v>
      </c>
      <c r="S23" s="2">
        <v>45976.341867812502</v>
      </c>
      <c r="T23" s="5">
        <v>6.7446319444444444E-2</v>
      </c>
      <c r="U23" s="4">
        <v>0</v>
      </c>
      <c r="V23" s="4" t="s">
        <v>578</v>
      </c>
      <c r="W23" s="4" t="s">
        <v>580</v>
      </c>
      <c r="X23" s="6" t="s">
        <v>579</v>
      </c>
    </row>
    <row r="24" spans="1:24">
      <c r="A24" s="4" t="s">
        <v>587</v>
      </c>
      <c r="B24" s="4" t="s">
        <v>588</v>
      </c>
      <c r="C24" s="4" t="s">
        <v>589</v>
      </c>
      <c r="D24" s="4" t="s">
        <v>590</v>
      </c>
      <c r="E24" s="4" t="s">
        <v>590</v>
      </c>
      <c r="M24" s="4" t="s">
        <v>575</v>
      </c>
      <c r="N24" s="4">
        <v>174.32270812988281</v>
      </c>
      <c r="O24" s="4">
        <v>-35.735782623291016</v>
      </c>
      <c r="P24" s="4" t="s">
        <v>591</v>
      </c>
      <c r="Q24" s="4" t="s">
        <v>577</v>
      </c>
      <c r="S24" s="2">
        <v>45976.341867812502</v>
      </c>
      <c r="T24" s="5">
        <v>6.7446319444444444E-2</v>
      </c>
      <c r="U24" s="4">
        <v>0</v>
      </c>
      <c r="V24" s="4" t="s">
        <v>578</v>
      </c>
      <c r="W24" s="4" t="s">
        <v>575</v>
      </c>
      <c r="X24" s="6" t="s">
        <v>579</v>
      </c>
    </row>
    <row r="25" spans="1:24">
      <c r="A25" s="4" t="s">
        <v>587</v>
      </c>
      <c r="B25" s="4" t="s">
        <v>588</v>
      </c>
      <c r="C25" s="4" t="s">
        <v>589</v>
      </c>
      <c r="D25" s="4" t="s">
        <v>590</v>
      </c>
      <c r="E25" s="4" t="s">
        <v>590</v>
      </c>
      <c r="M25" s="4" t="s">
        <v>580</v>
      </c>
      <c r="N25" s="4">
        <v>174.32270812988281</v>
      </c>
      <c r="O25" s="4">
        <v>-35.735782623291016</v>
      </c>
      <c r="P25" s="4" t="s">
        <v>591</v>
      </c>
      <c r="Q25" s="4" t="s">
        <v>577</v>
      </c>
      <c r="S25" s="2">
        <v>45976.496216770836</v>
      </c>
      <c r="T25" s="5">
        <v>3.847627314814815E-3</v>
      </c>
      <c r="U25" s="4">
        <v>0</v>
      </c>
      <c r="V25" s="4" t="s">
        <v>578</v>
      </c>
      <c r="W25" s="4" t="s">
        <v>580</v>
      </c>
      <c r="X25" s="6" t="s">
        <v>579</v>
      </c>
    </row>
    <row r="26" spans="1:24">
      <c r="A26" s="4" t="s">
        <v>587</v>
      </c>
      <c r="B26" s="4" t="s">
        <v>588</v>
      </c>
      <c r="C26" s="4" t="s">
        <v>589</v>
      </c>
      <c r="D26" s="4" t="s">
        <v>590</v>
      </c>
      <c r="E26" s="4" t="s">
        <v>590</v>
      </c>
      <c r="M26" s="4" t="s">
        <v>580</v>
      </c>
      <c r="N26" s="4">
        <v>174.32270812988281</v>
      </c>
      <c r="O26" s="4">
        <v>-35.735782623291016</v>
      </c>
      <c r="P26" s="4" t="s">
        <v>591</v>
      </c>
      <c r="Q26" s="4" t="s">
        <v>577</v>
      </c>
      <c r="S26" s="2">
        <v>45976.538050706018</v>
      </c>
      <c r="T26" s="5">
        <v>2.8308148148148148E-2</v>
      </c>
      <c r="U26" s="4">
        <v>0</v>
      </c>
      <c r="V26" s="4" t="s">
        <v>578</v>
      </c>
      <c r="W26" s="4" t="s">
        <v>580</v>
      </c>
      <c r="X26" s="6" t="s">
        <v>579</v>
      </c>
    </row>
    <row r="27" spans="1:24">
      <c r="A27" s="4" t="s">
        <v>587</v>
      </c>
      <c r="B27" s="4" t="s">
        <v>588</v>
      </c>
      <c r="C27" s="4" t="s">
        <v>589</v>
      </c>
      <c r="D27" s="4" t="s">
        <v>590</v>
      </c>
      <c r="E27" s="4" t="s">
        <v>590</v>
      </c>
      <c r="M27" s="4" t="s">
        <v>575</v>
      </c>
      <c r="N27" s="4">
        <v>174.32270812988281</v>
      </c>
      <c r="O27" s="4">
        <v>-35.735782623291016</v>
      </c>
      <c r="P27" s="4" t="s">
        <v>591</v>
      </c>
      <c r="Q27" s="4" t="s">
        <v>577</v>
      </c>
      <c r="S27" s="2">
        <v>45976.538050706018</v>
      </c>
      <c r="T27" s="5">
        <v>2.8308148148148148E-2</v>
      </c>
      <c r="U27" s="4">
        <v>0</v>
      </c>
      <c r="V27" s="4" t="s">
        <v>578</v>
      </c>
      <c r="W27" s="4" t="s">
        <v>575</v>
      </c>
      <c r="X27" s="6" t="s">
        <v>579</v>
      </c>
    </row>
    <row r="28" spans="1:24">
      <c r="A28" s="4" t="s">
        <v>587</v>
      </c>
      <c r="B28" s="4" t="s">
        <v>588</v>
      </c>
      <c r="C28" s="4" t="s">
        <v>589</v>
      </c>
      <c r="D28" s="4" t="s">
        <v>590</v>
      </c>
      <c r="E28" s="4" t="s">
        <v>590</v>
      </c>
      <c r="M28" s="4" t="s">
        <v>580</v>
      </c>
      <c r="N28" s="4">
        <v>174.32270812988281</v>
      </c>
      <c r="O28" s="4">
        <v>-35.735782623291016</v>
      </c>
      <c r="P28" s="4" t="s">
        <v>591</v>
      </c>
      <c r="Q28" s="4" t="s">
        <v>577</v>
      </c>
      <c r="S28" s="2">
        <v>45976.571733912038</v>
      </c>
      <c r="T28" s="5">
        <v>3.0982175925925927E-2</v>
      </c>
      <c r="U28" s="4">
        <v>0</v>
      </c>
      <c r="V28" s="4" t="s">
        <v>578</v>
      </c>
      <c r="W28" s="4" t="s">
        <v>580</v>
      </c>
      <c r="X28" s="6" t="s">
        <v>579</v>
      </c>
    </row>
    <row r="29" spans="1:24">
      <c r="A29" s="4" t="s">
        <v>587</v>
      </c>
      <c r="B29" s="4" t="s">
        <v>588</v>
      </c>
      <c r="C29" s="4" t="s">
        <v>589</v>
      </c>
      <c r="D29" s="4" t="s">
        <v>590</v>
      </c>
      <c r="E29" s="4" t="s">
        <v>590</v>
      </c>
      <c r="M29" s="4" t="s">
        <v>575</v>
      </c>
      <c r="N29" s="4">
        <v>174.32270812988281</v>
      </c>
      <c r="O29" s="4">
        <v>-35.735782623291016</v>
      </c>
      <c r="P29" s="4" t="s">
        <v>591</v>
      </c>
      <c r="Q29" s="4" t="s">
        <v>577</v>
      </c>
      <c r="S29" s="2">
        <v>45976.571733912038</v>
      </c>
      <c r="T29" s="5">
        <v>3.0982175925925927E-2</v>
      </c>
      <c r="U29" s="4">
        <v>0</v>
      </c>
      <c r="V29" s="4" t="s">
        <v>578</v>
      </c>
      <c r="W29" s="4" t="s">
        <v>575</v>
      </c>
      <c r="X29" s="6" t="s">
        <v>579</v>
      </c>
    </row>
    <row r="30" spans="1:24">
      <c r="A30" s="4" t="s">
        <v>587</v>
      </c>
      <c r="B30" s="4" t="s">
        <v>588</v>
      </c>
      <c r="C30" s="4" t="s">
        <v>589</v>
      </c>
      <c r="D30" s="4" t="s">
        <v>590</v>
      </c>
      <c r="E30" s="4" t="s">
        <v>590</v>
      </c>
      <c r="M30" s="4" t="s">
        <v>580</v>
      </c>
      <c r="N30" s="4">
        <v>174.32270812988281</v>
      </c>
      <c r="O30" s="4">
        <v>-35.735782623291016</v>
      </c>
      <c r="P30" s="4" t="s">
        <v>591</v>
      </c>
      <c r="Q30" s="4" t="s">
        <v>577</v>
      </c>
      <c r="S30" s="2">
        <v>45976.603412314813</v>
      </c>
      <c r="T30" s="5">
        <v>8.4594791666666672E-3</v>
      </c>
      <c r="U30" s="4">
        <v>0</v>
      </c>
      <c r="V30" s="4" t="s">
        <v>578</v>
      </c>
      <c r="W30" s="4" t="s">
        <v>580</v>
      </c>
      <c r="X30" s="6" t="s">
        <v>579</v>
      </c>
    </row>
    <row r="31" spans="1:24">
      <c r="A31" s="4" t="s">
        <v>587</v>
      </c>
      <c r="B31" s="4" t="s">
        <v>588</v>
      </c>
      <c r="C31" s="4" t="s">
        <v>589</v>
      </c>
      <c r="D31" s="4" t="s">
        <v>590</v>
      </c>
      <c r="E31" s="4" t="s">
        <v>590</v>
      </c>
      <c r="M31" s="4" t="s">
        <v>575</v>
      </c>
      <c r="N31" s="4">
        <v>174.32270812988281</v>
      </c>
      <c r="O31" s="4">
        <v>-35.735782623291016</v>
      </c>
      <c r="P31" s="4" t="s">
        <v>591</v>
      </c>
      <c r="Q31" s="4" t="s">
        <v>577</v>
      </c>
      <c r="S31" s="2">
        <v>45976.603412314813</v>
      </c>
      <c r="T31" s="5">
        <v>8.4594791666666672E-3</v>
      </c>
      <c r="U31" s="4">
        <v>0</v>
      </c>
      <c r="V31" s="4" t="s">
        <v>578</v>
      </c>
      <c r="W31" s="4" t="s">
        <v>575</v>
      </c>
      <c r="X31" s="6" t="s">
        <v>579</v>
      </c>
    </row>
    <row r="32" spans="1:24">
      <c r="A32" s="4" t="s">
        <v>587</v>
      </c>
      <c r="B32" s="4" t="s">
        <v>588</v>
      </c>
      <c r="C32" s="4" t="s">
        <v>589</v>
      </c>
      <c r="D32" s="4" t="s">
        <v>590</v>
      </c>
      <c r="E32" s="4" t="s">
        <v>590</v>
      </c>
      <c r="M32" s="4" t="s">
        <v>580</v>
      </c>
      <c r="N32" s="4">
        <v>174.32270812988281</v>
      </c>
      <c r="O32" s="4">
        <v>-35.735782623291016</v>
      </c>
      <c r="P32" s="4" t="s">
        <v>591</v>
      </c>
      <c r="Q32" s="4" t="s">
        <v>577</v>
      </c>
      <c r="S32" s="2">
        <v>45976.626152812503</v>
      </c>
      <c r="T32" s="5">
        <v>3.9965949074074074E-2</v>
      </c>
      <c r="U32" s="4">
        <v>0</v>
      </c>
      <c r="V32" s="4" t="s">
        <v>578</v>
      </c>
      <c r="W32" s="4" t="s">
        <v>580</v>
      </c>
      <c r="X32" s="6" t="s">
        <v>579</v>
      </c>
    </row>
    <row r="33" spans="1:24">
      <c r="A33" s="4" t="s">
        <v>587</v>
      </c>
      <c r="B33" s="4" t="s">
        <v>588</v>
      </c>
      <c r="C33" s="4" t="s">
        <v>589</v>
      </c>
      <c r="D33" s="4" t="s">
        <v>590</v>
      </c>
      <c r="E33" s="4" t="s">
        <v>590</v>
      </c>
      <c r="M33" s="4" t="s">
        <v>575</v>
      </c>
      <c r="N33" s="4">
        <v>174.32270812988281</v>
      </c>
      <c r="O33" s="4">
        <v>-35.735782623291016</v>
      </c>
      <c r="P33" s="4" t="s">
        <v>591</v>
      </c>
      <c r="Q33" s="4" t="s">
        <v>577</v>
      </c>
      <c r="S33" s="2">
        <v>45976.626152812503</v>
      </c>
      <c r="T33" s="5">
        <v>3.9965949074074074E-2</v>
      </c>
      <c r="U33" s="4">
        <v>0</v>
      </c>
      <c r="V33" s="4" t="s">
        <v>578</v>
      </c>
      <c r="W33" s="4" t="s">
        <v>575</v>
      </c>
      <c r="X33" s="6" t="s">
        <v>579</v>
      </c>
    </row>
    <row r="34" spans="1:24">
      <c r="A34" s="4" t="s">
        <v>592</v>
      </c>
      <c r="B34" s="4" t="s">
        <v>593</v>
      </c>
      <c r="C34" s="4" t="s">
        <v>594</v>
      </c>
      <c r="D34" s="4" t="s">
        <v>595</v>
      </c>
      <c r="E34" s="4" t="s">
        <v>596</v>
      </c>
      <c r="M34" s="4" t="s">
        <v>580</v>
      </c>
      <c r="N34" s="4">
        <v>174.44338989257813</v>
      </c>
      <c r="O34" s="4">
        <v>-35.870368957519531</v>
      </c>
      <c r="P34" s="4" t="s">
        <v>597</v>
      </c>
      <c r="Q34" s="4" t="s">
        <v>577</v>
      </c>
      <c r="S34" s="2">
        <v>45976.298812442132</v>
      </c>
      <c r="T34" s="5">
        <v>5.0154282407407404E-3</v>
      </c>
      <c r="U34" s="4">
        <v>9.7542405128479004E-2</v>
      </c>
      <c r="V34" s="4" t="s">
        <v>578</v>
      </c>
      <c r="W34" s="4" t="s">
        <v>580</v>
      </c>
      <c r="X34" s="6" t="s">
        <v>579</v>
      </c>
    </row>
    <row r="35" spans="1:24">
      <c r="A35" s="4" t="s">
        <v>598</v>
      </c>
      <c r="B35" s="4" t="s">
        <v>599</v>
      </c>
      <c r="C35" s="4" t="s">
        <v>600</v>
      </c>
      <c r="D35" s="4" t="s">
        <v>601</v>
      </c>
      <c r="E35" s="4" t="s">
        <v>602</v>
      </c>
      <c r="F35" s="4" t="s">
        <v>603</v>
      </c>
      <c r="G35" s="4" t="s">
        <v>604</v>
      </c>
      <c r="H35" s="4" t="s">
        <v>605</v>
      </c>
      <c r="I35" s="4" t="s">
        <v>606</v>
      </c>
      <c r="K35" s="4" t="s">
        <v>607</v>
      </c>
      <c r="L35" s="4" t="s">
        <v>607</v>
      </c>
      <c r="M35" s="4" t="s">
        <v>580</v>
      </c>
      <c r="N35" s="4">
        <v>174.28593444824219</v>
      </c>
      <c r="O35" s="4">
        <v>-35.6939697265625</v>
      </c>
      <c r="P35" s="4" t="s">
        <v>608</v>
      </c>
      <c r="S35" s="2">
        <v>45976.57995644676</v>
      </c>
      <c r="T35" s="5">
        <v>3.531423611111111E-3</v>
      </c>
      <c r="U35" s="4">
        <v>5.4281525313854218E-2</v>
      </c>
      <c r="V35" s="4" t="s">
        <v>578</v>
      </c>
      <c r="W35" s="4" t="s">
        <v>580</v>
      </c>
      <c r="X35" s="6" t="s">
        <v>579</v>
      </c>
    </row>
    <row r="36" spans="1:24">
      <c r="A36" s="4" t="s">
        <v>609</v>
      </c>
      <c r="B36" s="4" t="s">
        <v>610</v>
      </c>
      <c r="C36" s="4" t="s">
        <v>611</v>
      </c>
      <c r="D36" s="4" t="s">
        <v>612</v>
      </c>
      <c r="E36" s="4" t="s">
        <v>613</v>
      </c>
      <c r="F36" s="4" t="s">
        <v>614</v>
      </c>
      <c r="G36" s="4" t="s">
        <v>615</v>
      </c>
      <c r="H36" s="4" t="s">
        <v>616</v>
      </c>
      <c r="I36" s="4" t="s">
        <v>617</v>
      </c>
      <c r="K36" s="4" t="s">
        <v>618</v>
      </c>
      <c r="L36" s="4" t="s">
        <v>618</v>
      </c>
      <c r="M36" s="4" t="s">
        <v>580</v>
      </c>
      <c r="N36" s="4">
        <v>176.83174133300781</v>
      </c>
      <c r="O36" s="4">
        <v>-39.621639251708984</v>
      </c>
      <c r="P36" s="4" t="s">
        <v>619</v>
      </c>
      <c r="S36" s="2">
        <v>45976.387077974534</v>
      </c>
      <c r="T36" s="5">
        <v>1.3786701388888888E-2</v>
      </c>
      <c r="U36" s="4">
        <v>0</v>
      </c>
      <c r="V36" s="4" t="s">
        <v>578</v>
      </c>
      <c r="W36" s="4" t="s">
        <v>580</v>
      </c>
      <c r="X36" s="6" t="s">
        <v>579</v>
      </c>
    </row>
    <row r="37" spans="1:24">
      <c r="A37" s="4" t="s">
        <v>609</v>
      </c>
      <c r="B37" s="4" t="s">
        <v>610</v>
      </c>
      <c r="C37" s="4" t="s">
        <v>611</v>
      </c>
      <c r="D37" s="4" t="s">
        <v>612</v>
      </c>
      <c r="E37" s="4" t="s">
        <v>613</v>
      </c>
      <c r="F37" s="4" t="s">
        <v>614</v>
      </c>
      <c r="G37" s="4" t="s">
        <v>615</v>
      </c>
      <c r="H37" s="4" t="s">
        <v>616</v>
      </c>
      <c r="I37" s="4" t="s">
        <v>617</v>
      </c>
      <c r="K37" s="4" t="s">
        <v>618</v>
      </c>
      <c r="L37" s="4" t="s">
        <v>618</v>
      </c>
      <c r="M37" s="4" t="s">
        <v>575</v>
      </c>
      <c r="N37" s="4">
        <v>176.83174133300781</v>
      </c>
      <c r="O37" s="4">
        <v>-39.621639251708984</v>
      </c>
      <c r="P37" s="4" t="s">
        <v>619</v>
      </c>
      <c r="S37" s="2">
        <v>45976.387077974534</v>
      </c>
      <c r="T37" s="5">
        <v>1.3786701388888888E-2</v>
      </c>
      <c r="U37" s="4">
        <v>0</v>
      </c>
      <c r="V37" s="4" t="s">
        <v>578</v>
      </c>
      <c r="W37" s="4" t="s">
        <v>575</v>
      </c>
      <c r="X37" s="6" t="s">
        <v>579</v>
      </c>
    </row>
    <row r="38" spans="1:24">
      <c r="A38" s="4" t="s">
        <v>609</v>
      </c>
      <c r="B38" s="4" t="s">
        <v>610</v>
      </c>
      <c r="C38" s="4" t="s">
        <v>611</v>
      </c>
      <c r="D38" s="4" t="s">
        <v>612</v>
      </c>
      <c r="E38" s="4" t="s">
        <v>613</v>
      </c>
      <c r="F38" s="4" t="s">
        <v>614</v>
      </c>
      <c r="G38" s="4" t="s">
        <v>615</v>
      </c>
      <c r="H38" s="4" t="s">
        <v>616</v>
      </c>
      <c r="I38" s="4" t="s">
        <v>617</v>
      </c>
      <c r="K38" s="4" t="s">
        <v>618</v>
      </c>
      <c r="L38" s="4" t="s">
        <v>618</v>
      </c>
      <c r="M38" s="4" t="s">
        <v>575</v>
      </c>
      <c r="N38" s="4">
        <v>176.83174133300781</v>
      </c>
      <c r="O38" s="4">
        <v>-39.621639251708984</v>
      </c>
      <c r="P38" s="4" t="s">
        <v>619</v>
      </c>
      <c r="S38" s="2">
        <v>45976.685816863428</v>
      </c>
      <c r="T38" s="5">
        <v>1.2358391203703703E-2</v>
      </c>
      <c r="U38" s="4">
        <v>0</v>
      </c>
      <c r="V38" s="4" t="s">
        <v>578</v>
      </c>
      <c r="W38" s="4" t="s">
        <v>575</v>
      </c>
      <c r="X38" s="6" t="s">
        <v>579</v>
      </c>
    </row>
    <row r="39" spans="1:24">
      <c r="A39" s="4" t="s">
        <v>609</v>
      </c>
      <c r="B39" s="4" t="s">
        <v>610</v>
      </c>
      <c r="C39" s="4" t="s">
        <v>611</v>
      </c>
      <c r="D39" s="4" t="s">
        <v>612</v>
      </c>
      <c r="E39" s="4" t="s">
        <v>613</v>
      </c>
      <c r="F39" s="4" t="s">
        <v>614</v>
      </c>
      <c r="G39" s="4" t="s">
        <v>615</v>
      </c>
      <c r="H39" s="4" t="s">
        <v>616</v>
      </c>
      <c r="I39" s="4" t="s">
        <v>617</v>
      </c>
      <c r="K39" s="4" t="s">
        <v>618</v>
      </c>
      <c r="L39" s="4" t="s">
        <v>618</v>
      </c>
      <c r="M39" s="4" t="s">
        <v>580</v>
      </c>
      <c r="N39" s="4">
        <v>176.83174133300781</v>
      </c>
      <c r="O39" s="4">
        <v>-39.621639251708984</v>
      </c>
      <c r="P39" s="4" t="s">
        <v>619</v>
      </c>
      <c r="S39" s="2">
        <v>45976.685816863428</v>
      </c>
      <c r="T39" s="5">
        <v>1.2358391203703703E-2</v>
      </c>
      <c r="U39" s="4">
        <v>0</v>
      </c>
      <c r="V39" s="4" t="s">
        <v>578</v>
      </c>
      <c r="W39" s="4" t="s">
        <v>580</v>
      </c>
      <c r="X39" s="6" t="s">
        <v>579</v>
      </c>
    </row>
    <row r="40" spans="1:24">
      <c r="A40" s="4" t="s">
        <v>609</v>
      </c>
      <c r="B40" s="4" t="s">
        <v>610</v>
      </c>
      <c r="C40" s="4" t="s">
        <v>611</v>
      </c>
      <c r="D40" s="4" t="s">
        <v>612</v>
      </c>
      <c r="E40" s="4" t="s">
        <v>613</v>
      </c>
      <c r="F40" s="4" t="s">
        <v>614</v>
      </c>
      <c r="G40" s="4" t="s">
        <v>615</v>
      </c>
      <c r="H40" s="4" t="s">
        <v>616</v>
      </c>
      <c r="I40" s="4" t="s">
        <v>617</v>
      </c>
      <c r="K40" s="4" t="s">
        <v>618</v>
      </c>
      <c r="L40" s="4" t="s">
        <v>618</v>
      </c>
      <c r="M40" s="4" t="s">
        <v>580</v>
      </c>
      <c r="N40" s="4">
        <v>176.83174133300781</v>
      </c>
      <c r="O40" s="4">
        <v>-39.621639251708984</v>
      </c>
      <c r="P40" s="4" t="s">
        <v>619</v>
      </c>
      <c r="S40" s="2">
        <v>45976.725068599539</v>
      </c>
      <c r="T40" s="5">
        <v>6.9187037037037038E-3</v>
      </c>
      <c r="U40" s="4">
        <v>0</v>
      </c>
      <c r="V40" s="4" t="s">
        <v>578</v>
      </c>
      <c r="W40" s="4" t="s">
        <v>580</v>
      </c>
      <c r="X40" s="6" t="s">
        <v>579</v>
      </c>
    </row>
    <row r="41" spans="1:24">
      <c r="A41" s="4" t="s">
        <v>609</v>
      </c>
      <c r="B41" s="4" t="s">
        <v>610</v>
      </c>
      <c r="C41" s="4" t="s">
        <v>611</v>
      </c>
      <c r="D41" s="4" t="s">
        <v>612</v>
      </c>
      <c r="E41" s="4" t="s">
        <v>613</v>
      </c>
      <c r="F41" s="4" t="s">
        <v>614</v>
      </c>
      <c r="G41" s="4" t="s">
        <v>615</v>
      </c>
      <c r="H41" s="4" t="s">
        <v>616</v>
      </c>
      <c r="I41" s="4" t="s">
        <v>617</v>
      </c>
      <c r="K41" s="4" t="s">
        <v>618</v>
      </c>
      <c r="L41" s="4" t="s">
        <v>618</v>
      </c>
      <c r="M41" s="4" t="s">
        <v>580</v>
      </c>
      <c r="N41" s="4">
        <v>176.83174133300781</v>
      </c>
      <c r="O41" s="4">
        <v>-39.621639251708984</v>
      </c>
      <c r="P41" s="4" t="s">
        <v>619</v>
      </c>
      <c r="S41" s="2">
        <v>45976.854356076386</v>
      </c>
      <c r="T41" s="5">
        <v>1.2171145833333334E-2</v>
      </c>
      <c r="U41" s="4">
        <v>0</v>
      </c>
      <c r="V41" s="4" t="s">
        <v>578</v>
      </c>
      <c r="W41" s="4" t="s">
        <v>580</v>
      </c>
      <c r="X41" s="6" t="s">
        <v>579</v>
      </c>
    </row>
    <row r="42" spans="1:24">
      <c r="A42" s="4" t="s">
        <v>609</v>
      </c>
      <c r="B42" s="4" t="s">
        <v>610</v>
      </c>
      <c r="C42" s="4" t="s">
        <v>611</v>
      </c>
      <c r="D42" s="4" t="s">
        <v>612</v>
      </c>
      <c r="E42" s="4" t="s">
        <v>613</v>
      </c>
      <c r="F42" s="4" t="s">
        <v>614</v>
      </c>
      <c r="G42" s="4" t="s">
        <v>615</v>
      </c>
      <c r="H42" s="4" t="s">
        <v>616</v>
      </c>
      <c r="I42" s="4" t="s">
        <v>617</v>
      </c>
      <c r="K42" s="4" t="s">
        <v>618</v>
      </c>
      <c r="L42" s="4" t="s">
        <v>618</v>
      </c>
      <c r="M42" s="4" t="s">
        <v>575</v>
      </c>
      <c r="N42" s="4">
        <v>176.83174133300781</v>
      </c>
      <c r="O42" s="4">
        <v>-39.621639251708984</v>
      </c>
      <c r="P42" s="4" t="s">
        <v>619</v>
      </c>
      <c r="S42" s="2">
        <v>45976.854356076386</v>
      </c>
      <c r="T42" s="5">
        <v>1.2171145833333334E-2</v>
      </c>
      <c r="U42" s="4">
        <v>0</v>
      </c>
      <c r="V42" s="4" t="s">
        <v>578</v>
      </c>
      <c r="W42" s="4" t="s">
        <v>575</v>
      </c>
      <c r="X42" s="6" t="s">
        <v>579</v>
      </c>
    </row>
  </sheetData>
  <pageMargins left="0.75" right="0.75" top="1" bottom="1" header="0.51180555555555496" footer="0.51180555555555496"/>
  <pageSetup firstPageNumber="0" fitToHeight="10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J44"/>
  <sheetViews>
    <sheetView showGridLines="0" zoomScaleNormal="100" workbookViewId="0">
      <pane ySplit="13" topLeftCell="A14" activePane="bottomLeft" state="frozen"/>
      <selection activeCell="I1" sqref="I1"/>
      <selection pane="bottomLeft"/>
    </sheetView>
  </sheetViews>
  <sheetFormatPr defaultColWidth="9.140625" defaultRowHeight="16.5"/>
  <cols>
    <col min="1" max="2" width="25.85546875" style="7" customWidth="1"/>
    <col min="3" max="4" width="22.85546875" style="7" customWidth="1"/>
    <col min="5" max="5" width="29.42578125" style="7" customWidth="1"/>
    <col min="6" max="6" width="22.42578125" style="7" customWidth="1"/>
    <col min="7" max="7" width="17.140625" style="7" customWidth="1"/>
    <col min="8" max="8" width="38.140625" style="7" customWidth="1"/>
    <col min="9" max="9" width="28.42578125" style="8" customWidth="1"/>
    <col min="10" max="10" width="13.140625" style="9" customWidth="1"/>
    <col min="11" max="11" width="18.140625" style="10" customWidth="1"/>
    <col min="12" max="12" width="16.42578125" style="11" customWidth="1"/>
    <col min="13" max="13" width="16.140625" style="12" customWidth="1"/>
    <col min="14" max="14" width="51.85546875" style="12" hidden="1" customWidth="1"/>
    <col min="15" max="15" width="51.85546875" style="8" customWidth="1"/>
    <col min="16" max="16" width="40.42578125" style="7" customWidth="1"/>
    <col min="17" max="1024" width="9.140625" style="7"/>
  </cols>
  <sheetData>
    <row r="1" spans="1:16" s="14" customFormat="1" ht="25.5" customHeight="1">
      <c r="A1" s="13" t="s">
        <v>620</v>
      </c>
      <c r="C1" s="15">
        <f>Data!B2</f>
        <v>45977.706717870373</v>
      </c>
      <c r="H1" s="15"/>
      <c r="J1" s="15"/>
      <c r="K1" s="16"/>
      <c r="L1" s="17"/>
    </row>
    <row r="2" spans="1:16" s="7" customFormat="1" ht="25.5" customHeight="1">
      <c r="A2" s="18" t="str">
        <f>Data!B1</f>
        <v>United Civil Construction Limited</v>
      </c>
      <c r="H2" s="8"/>
      <c r="I2" s="8"/>
      <c r="J2" s="8"/>
      <c r="K2" s="12"/>
      <c r="L2" s="19"/>
    </row>
    <row r="3" spans="1:16" s="20" customFormat="1" ht="17.45" customHeight="1">
      <c r="A3" s="7"/>
      <c r="I3" s="21"/>
      <c r="J3" s="22"/>
      <c r="K3" s="23"/>
      <c r="L3" s="24"/>
      <c r="M3" s="25"/>
      <c r="N3" s="25"/>
      <c r="O3" s="21"/>
    </row>
    <row r="4" spans="1:16" ht="17.45" customHeight="1">
      <c r="A4" s="70" t="s">
        <v>36</v>
      </c>
      <c r="B4" s="70"/>
      <c r="C4" s="27"/>
      <c r="D4" s="27"/>
      <c r="E4" s="27"/>
      <c r="F4" s="27"/>
      <c r="G4" s="27"/>
    </row>
    <row r="5" spans="1:16" ht="17.45" customHeight="1">
      <c r="A5" s="28" t="s">
        <v>621</v>
      </c>
      <c r="B5" s="29">
        <f>Data!B3</f>
        <v>45976</v>
      </c>
      <c r="C5" s="27"/>
      <c r="D5" s="27"/>
      <c r="E5" s="27"/>
      <c r="F5" s="27"/>
      <c r="G5" s="27"/>
    </row>
    <row r="6" spans="1:16" ht="17.45" customHeight="1">
      <c r="A6" s="28" t="s">
        <v>622</v>
      </c>
      <c r="B6" s="29">
        <f>Data!B4</f>
        <v>45976.999988425923</v>
      </c>
      <c r="C6" s="27"/>
      <c r="D6" s="27"/>
      <c r="E6" s="27"/>
      <c r="F6" s="27"/>
      <c r="G6" s="27"/>
    </row>
    <row r="7" spans="1:16" ht="17.45" customHeight="1">
      <c r="A7" s="28" t="s">
        <v>623</v>
      </c>
      <c r="B7" s="30">
        <f>B6-B5</f>
        <v>0.99998842592322035</v>
      </c>
      <c r="C7" s="27"/>
      <c r="D7" s="27"/>
      <c r="E7" s="27"/>
      <c r="F7" s="27"/>
      <c r="G7" s="27"/>
    </row>
    <row r="8" spans="1:16" ht="17.45" customHeight="1">
      <c r="A8" s="31"/>
      <c r="B8" s="32"/>
      <c r="C8" s="27"/>
      <c r="D8" s="27"/>
      <c r="E8" s="27"/>
      <c r="F8" s="27"/>
      <c r="G8" s="27"/>
    </row>
    <row r="9" spans="1:16" ht="17.45" customHeight="1">
      <c r="A9" s="26" t="s">
        <v>624</v>
      </c>
      <c r="B9" s="29" t="str">
        <f>Data!B5</f>
        <v>Pacific/Auckland</v>
      </c>
      <c r="C9" s="33"/>
      <c r="D9" s="33"/>
      <c r="E9" s="33"/>
      <c r="F9" s="33"/>
      <c r="G9" s="33"/>
    </row>
    <row r="10" spans="1:16" ht="17.45" customHeight="1">
      <c r="A10" s="26" t="s">
        <v>625</v>
      </c>
      <c r="B10" s="29" t="str">
        <f>Data!B6</f>
        <v>km</v>
      </c>
      <c r="C10" s="27"/>
      <c r="D10" s="27"/>
      <c r="E10" s="27"/>
      <c r="F10" s="27"/>
      <c r="G10" s="27"/>
    </row>
    <row r="11" spans="1:16" ht="17.45" customHeight="1">
      <c r="A11" s="26" t="s">
        <v>626</v>
      </c>
      <c r="B11" s="29" t="str">
        <f>Data!B7</f>
        <v>km/h</v>
      </c>
      <c r="C11" s="27"/>
      <c r="D11" s="27"/>
      <c r="E11" s="27"/>
      <c r="F11" s="27"/>
      <c r="G11" s="27"/>
    </row>
    <row r="12" spans="1:16" ht="17.45" customHeight="1">
      <c r="A12" s="20"/>
    </row>
    <row r="13" spans="1:16" s="40" customFormat="1" ht="17.45" customHeight="1">
      <c r="A13" s="34" t="s">
        <v>627</v>
      </c>
      <c r="B13" s="34" t="s">
        <v>628</v>
      </c>
      <c r="C13" s="34" t="s">
        <v>629</v>
      </c>
      <c r="D13" s="34" t="s">
        <v>630</v>
      </c>
      <c r="E13" s="34" t="s">
        <v>631</v>
      </c>
      <c r="F13" s="34" t="s">
        <v>632</v>
      </c>
      <c r="G13" s="34" t="s">
        <v>633</v>
      </c>
      <c r="H13" s="34" t="s">
        <v>634</v>
      </c>
      <c r="I13" s="35" t="s">
        <v>178</v>
      </c>
      <c r="J13" s="36" t="s">
        <v>36</v>
      </c>
      <c r="K13" s="37" t="s">
        <v>635</v>
      </c>
      <c r="L13" s="38" t="s">
        <v>636</v>
      </c>
      <c r="M13" s="39" t="s">
        <v>213</v>
      </c>
      <c r="N13" s="39" t="s">
        <v>637</v>
      </c>
      <c r="O13" s="35" t="s">
        <v>240</v>
      </c>
      <c r="P13" s="35" t="s">
        <v>363</v>
      </c>
    </row>
    <row r="14" spans="1:16">
      <c r="A14" s="41" t="str">
        <f>Data!A12</f>
        <v>128</v>
      </c>
      <c r="B14" s="41" t="str">
        <f>Data!D12</f>
        <v>Digger, Diesel, Excavator/Tradestaff, Machines, Trade Staff</v>
      </c>
      <c r="C14" s="41">
        <f>Data!F12</f>
        <v>0</v>
      </c>
      <c r="D14" s="41">
        <f>Data!G12</f>
        <v>0</v>
      </c>
      <c r="E14" s="41">
        <f>Data!H12</f>
        <v>0</v>
      </c>
      <c r="F14" s="41">
        <f>Data!K12</f>
        <v>0</v>
      </c>
      <c r="G14" s="33" t="str">
        <f>Data!M12</f>
        <v>Idling &gt;10 mins and  &lt;100 m</v>
      </c>
      <c r="H14" s="41" t="str">
        <f>Data!P12</f>
        <v>Morningside: 65 Morningside Rd, Northland Region 0110, New Zealand</v>
      </c>
      <c r="I14" s="42" t="str">
        <f>Data!Q12</f>
        <v>Project</v>
      </c>
      <c r="J14" s="43">
        <f>Data!S12</f>
        <v>45976.331114733795</v>
      </c>
      <c r="K14" s="44">
        <f>Data!S12</f>
        <v>45976.331114733795</v>
      </c>
      <c r="L14" s="45">
        <f>Data!T12</f>
        <v>1.6699953703703703E-2</v>
      </c>
      <c r="M14" s="46">
        <f>Data!U12</f>
        <v>1.2914204970002174E-2</v>
      </c>
      <c r="N14" s="46" t="str">
        <f>CONCATENATE(Data!W12," (",Data!V12,")")</f>
        <v>Idling &gt;10 mins and  &lt;100 m (Ignition: 1.00)</v>
      </c>
      <c r="O14" s="42" t="str">
        <f>IF(Data!V12&lt;&gt;"",N14,Data!W12)</f>
        <v>Idling &gt;10 mins and  &lt;100 m (Ignition: 1.00)</v>
      </c>
      <c r="P14" s="47" t="str">
        <f>Data!X12</f>
        <v>Valid</v>
      </c>
    </row>
    <row r="15" spans="1:16">
      <c r="A15" s="41" t="str">
        <f>Data!A13</f>
        <v>128</v>
      </c>
      <c r="B15" s="41" t="str">
        <f>Data!D13</f>
        <v>Digger, Diesel, Excavator/Tradestaff, Machines, Trade Staff</v>
      </c>
      <c r="C15" s="41">
        <f>Data!F13</f>
        <v>0</v>
      </c>
      <c r="D15" s="41">
        <f>Data!G13</f>
        <v>0</v>
      </c>
      <c r="E15" s="41">
        <f>Data!H13</f>
        <v>0</v>
      </c>
      <c r="F15" s="41">
        <f>Data!K13</f>
        <v>0</v>
      </c>
      <c r="G15" s="33" t="str">
        <f>Data!M13</f>
        <v>Idling &gt;5 mins and  &lt;100 m</v>
      </c>
      <c r="H15" s="41" t="str">
        <f>Data!P13</f>
        <v>Morningside: 65 Morningside Rd, Northland Region 0110, New Zealand</v>
      </c>
      <c r="I15" s="42" t="str">
        <f>Data!Q13</f>
        <v>Project</v>
      </c>
      <c r="J15" s="43">
        <f>Data!S13</f>
        <v>45976.331114733795</v>
      </c>
      <c r="K15" s="44">
        <f>Data!S13</f>
        <v>45976.331114733795</v>
      </c>
      <c r="L15" s="45">
        <f>Data!T13</f>
        <v>1.6699953703703703E-2</v>
      </c>
      <c r="M15" s="46">
        <f>Data!U13</f>
        <v>1.2914204970002174E-2</v>
      </c>
      <c r="N15" s="46" t="str">
        <f>CONCATENATE(Data!W13," (",Data!V13,")")</f>
        <v>Idling &gt;5 mins and  &lt;100 m (Ignition: 1.00)</v>
      </c>
      <c r="O15" s="42" t="str">
        <f>IF(Data!V13&lt;&gt;"",N15,Data!W13)</f>
        <v>Idling &gt;5 mins and  &lt;100 m (Ignition: 1.00)</v>
      </c>
      <c r="P15" s="47" t="str">
        <f>Data!X13</f>
        <v>Valid</v>
      </c>
    </row>
    <row r="16" spans="1:16">
      <c r="A16" s="41" t="str">
        <f>Data!A14</f>
        <v>128</v>
      </c>
      <c r="B16" s="41" t="str">
        <f>Data!D14</f>
        <v>Digger, Diesel, Excavator/Tradestaff, Machines, Trade Staff</v>
      </c>
      <c r="C16" s="41" t="str">
        <f>Data!F14</f>
        <v>Paul</v>
      </c>
      <c r="D16" s="41" t="str">
        <f>Data!G14</f>
        <v>Travers</v>
      </c>
      <c r="E16" s="41" t="str">
        <f>Data!H14</f>
        <v>paul.travers</v>
      </c>
      <c r="F16" s="41" t="str">
        <f>Data!K14</f>
        <v>Excavator/Tradestaff, Grader/Trade Staff, HDV/Trade Staff, Loader/Trade Staff, Roller/Trade Staff, Telehandler/Trade Staff, Trade Staff</v>
      </c>
      <c r="G16" s="33" t="str">
        <f>Data!M14</f>
        <v>Idling &gt;10 mins and  &lt;100 m</v>
      </c>
      <c r="H16" s="41" t="str">
        <f>Data!P14</f>
        <v>Morningside: 74 Morningside Road, Morningside, Whangārei 0110, New Zealand</v>
      </c>
      <c r="I16" s="42" t="str">
        <f>Data!Q14</f>
        <v>Project</v>
      </c>
      <c r="J16" s="43">
        <f>Data!S14</f>
        <v>45976.353866238424</v>
      </c>
      <c r="K16" s="44">
        <f>Data!S14</f>
        <v>45976.353866238424</v>
      </c>
      <c r="L16" s="45">
        <f>Data!T14</f>
        <v>1.492193287037037E-2</v>
      </c>
      <c r="M16" s="46">
        <f>Data!U14</f>
        <v>2.974431961774826E-2</v>
      </c>
      <c r="N16" s="46" t="str">
        <f>CONCATENATE(Data!W14," (",Data!V14,")")</f>
        <v>Idling &gt;10 mins and  &lt;100 m (Ignition: 1.00)</v>
      </c>
      <c r="O16" s="42" t="str">
        <f>IF(Data!V14&lt;&gt;"",N16,Data!W14)</f>
        <v>Idling &gt;10 mins and  &lt;100 m (Ignition: 1.00)</v>
      </c>
      <c r="P16" s="47" t="str">
        <f>Data!X14</f>
        <v>Valid</v>
      </c>
    </row>
    <row r="17" spans="1:16">
      <c r="A17" s="41" t="str">
        <f>Data!A15</f>
        <v>128</v>
      </c>
      <c r="B17" s="41" t="str">
        <f>Data!D15</f>
        <v>Digger, Diesel, Excavator/Tradestaff, Machines, Trade Staff</v>
      </c>
      <c r="C17" s="41" t="str">
        <f>Data!F15</f>
        <v>Paul</v>
      </c>
      <c r="D17" s="41" t="str">
        <f>Data!G15</f>
        <v>Travers</v>
      </c>
      <c r="E17" s="41" t="str">
        <f>Data!H15</f>
        <v>paul.travers</v>
      </c>
      <c r="F17" s="41" t="str">
        <f>Data!K15</f>
        <v>Excavator/Tradestaff, Grader/Trade Staff, HDV/Trade Staff, Loader/Trade Staff, Roller/Trade Staff, Telehandler/Trade Staff, Trade Staff</v>
      </c>
      <c r="G17" s="33" t="str">
        <f>Data!M15</f>
        <v>Idling &gt;5 mins and  &lt;100 m</v>
      </c>
      <c r="H17" s="41" t="str">
        <f>Data!P15</f>
        <v>Morningside: 74 Morningside Road, Morningside, Whangārei 0110, New Zealand</v>
      </c>
      <c r="I17" s="42" t="str">
        <f>Data!Q15</f>
        <v>Project</v>
      </c>
      <c r="J17" s="43">
        <f>Data!S15</f>
        <v>45976.353866238424</v>
      </c>
      <c r="K17" s="44">
        <f>Data!S15</f>
        <v>45976.353866238424</v>
      </c>
      <c r="L17" s="45">
        <f>Data!T15</f>
        <v>1.492193287037037E-2</v>
      </c>
      <c r="M17" s="46">
        <f>Data!U15</f>
        <v>2.974431961774826E-2</v>
      </c>
      <c r="N17" s="46" t="str">
        <f>CONCATENATE(Data!W15," (",Data!V15,")")</f>
        <v>Idling &gt;5 mins and  &lt;100 m (Ignition: 1.00)</v>
      </c>
      <c r="O17" s="42" t="str">
        <f>IF(Data!V15&lt;&gt;"",N17,Data!W15)</f>
        <v>Idling &gt;5 mins and  &lt;100 m (Ignition: 1.00)</v>
      </c>
      <c r="P17" s="47" t="str">
        <f>Data!X15</f>
        <v>Valid</v>
      </c>
    </row>
    <row r="18" spans="1:16">
      <c r="A18" s="41" t="str">
        <f>Data!A16</f>
        <v>128</v>
      </c>
      <c r="B18" s="41" t="str">
        <f>Data!D16</f>
        <v>Digger, Diesel, Excavator/Tradestaff, Machines, Trade Staff</v>
      </c>
      <c r="C18" s="41" t="str">
        <f>Data!F16</f>
        <v>Paul</v>
      </c>
      <c r="D18" s="41" t="str">
        <f>Data!G16</f>
        <v>Travers</v>
      </c>
      <c r="E18" s="41" t="str">
        <f>Data!H16</f>
        <v>paul.travers</v>
      </c>
      <c r="F18" s="41" t="str">
        <f>Data!K16</f>
        <v>Excavator/Tradestaff, Grader/Trade Staff, HDV/Trade Staff, Loader/Trade Staff, Roller/Trade Staff, Telehandler/Trade Staff, Trade Staff</v>
      </c>
      <c r="G18" s="33" t="str">
        <f>Data!M16</f>
        <v>Idling &gt;10 mins and  &lt;100 m</v>
      </c>
      <c r="H18" s="41" t="str">
        <f>Data!P16</f>
        <v>Morningside: 74 Morningside Road, Morningside, Whangārei 0110, New Zealand</v>
      </c>
      <c r="I18" s="42" t="str">
        <f>Data!Q16</f>
        <v>Project</v>
      </c>
      <c r="J18" s="43">
        <f>Data!S16</f>
        <v>45976.375317465281</v>
      </c>
      <c r="K18" s="44">
        <f>Data!S16</f>
        <v>45976.375317465281</v>
      </c>
      <c r="L18" s="45">
        <f>Data!T16</f>
        <v>1.4943229166666667E-2</v>
      </c>
      <c r="M18" s="46">
        <f>Data!U16</f>
        <v>6.3975170254707336E-2</v>
      </c>
      <c r="N18" s="46" t="str">
        <f>CONCATENATE(Data!W16," (",Data!V16,")")</f>
        <v>Idling &gt;10 mins and  &lt;100 m (Ignition: 1.00)</v>
      </c>
      <c r="O18" s="42" t="str">
        <f>IF(Data!V16&lt;&gt;"",N18,Data!W16)</f>
        <v>Idling &gt;10 mins and  &lt;100 m (Ignition: 1.00)</v>
      </c>
      <c r="P18" s="47" t="str">
        <f>Data!X16</f>
        <v>Valid</v>
      </c>
    </row>
    <row r="19" spans="1:16">
      <c r="A19" s="41" t="str">
        <f>Data!A17</f>
        <v>128</v>
      </c>
      <c r="B19" s="41" t="str">
        <f>Data!D17</f>
        <v>Digger, Diesel, Excavator/Tradestaff, Machines, Trade Staff</v>
      </c>
      <c r="C19" s="41" t="str">
        <f>Data!F17</f>
        <v>Paul</v>
      </c>
      <c r="D19" s="41" t="str">
        <f>Data!G17</f>
        <v>Travers</v>
      </c>
      <c r="E19" s="41" t="str">
        <f>Data!H17</f>
        <v>paul.travers</v>
      </c>
      <c r="F19" s="41" t="str">
        <f>Data!K17</f>
        <v>Excavator/Tradestaff, Grader/Trade Staff, HDV/Trade Staff, Loader/Trade Staff, Roller/Trade Staff, Telehandler/Trade Staff, Trade Staff</v>
      </c>
      <c r="G19" s="33" t="str">
        <f>Data!M17</f>
        <v>Idling &gt;5 mins and  &lt;100 m</v>
      </c>
      <c r="H19" s="41" t="str">
        <f>Data!P17</f>
        <v>Morningside: 74 Morningside Road, Morningside, Whangārei 0110, New Zealand</v>
      </c>
      <c r="I19" s="42" t="str">
        <f>Data!Q17</f>
        <v>Project</v>
      </c>
      <c r="J19" s="43">
        <f>Data!S17</f>
        <v>45976.375317465281</v>
      </c>
      <c r="K19" s="44">
        <f>Data!S17</f>
        <v>45976.375317465281</v>
      </c>
      <c r="L19" s="45">
        <f>Data!T17</f>
        <v>1.4943229166666667E-2</v>
      </c>
      <c r="M19" s="46">
        <f>Data!U17</f>
        <v>6.3975170254707336E-2</v>
      </c>
      <c r="N19" s="46" t="str">
        <f>CONCATENATE(Data!W17," (",Data!V17,")")</f>
        <v>Idling &gt;5 mins and  &lt;100 m (Ignition: 1.00)</v>
      </c>
      <c r="O19" s="42" t="str">
        <f>IF(Data!V17&lt;&gt;"",N19,Data!W17)</f>
        <v>Idling &gt;5 mins and  &lt;100 m (Ignition: 1.00)</v>
      </c>
      <c r="P19" s="47" t="str">
        <f>Data!X17</f>
        <v>Valid</v>
      </c>
    </row>
    <row r="20" spans="1:16">
      <c r="A20" s="41" t="str">
        <f>Data!A18</f>
        <v>128</v>
      </c>
      <c r="B20" s="41" t="str">
        <f>Data!D18</f>
        <v>Digger, Diesel, Excavator/Tradestaff, Machines, Trade Staff</v>
      </c>
      <c r="C20" s="41" t="str">
        <f>Data!F18</f>
        <v>Paul</v>
      </c>
      <c r="D20" s="41" t="str">
        <f>Data!G18</f>
        <v>Travers</v>
      </c>
      <c r="E20" s="41" t="str">
        <f>Data!H18</f>
        <v>paul.travers</v>
      </c>
      <c r="F20" s="41" t="str">
        <f>Data!K18</f>
        <v>Excavator/Tradestaff, Grader/Trade Staff, HDV/Trade Staff, Loader/Trade Staff, Roller/Trade Staff, Telehandler/Trade Staff, Trade Staff</v>
      </c>
      <c r="G20" s="33" t="str">
        <f>Data!M18</f>
        <v>Idling &gt;5 mins and  &lt;100 m</v>
      </c>
      <c r="H20" s="41" t="str">
        <f>Data!P18</f>
        <v>Morningside: 74 Morningside Road, Morningside, Whangārei 0110, New Zealand</v>
      </c>
      <c r="I20" s="42" t="str">
        <f>Data!Q18</f>
        <v>Project</v>
      </c>
      <c r="J20" s="43">
        <f>Data!S18</f>
        <v>45976.391765497683</v>
      </c>
      <c r="K20" s="44">
        <f>Data!S18</f>
        <v>45976.391765497683</v>
      </c>
      <c r="L20" s="45">
        <f>Data!T18</f>
        <v>3.7944212962962962E-3</v>
      </c>
      <c r="M20" s="46">
        <f>Data!U18</f>
        <v>1.49278175085783E-2</v>
      </c>
      <c r="N20" s="46" t="str">
        <f>CONCATENATE(Data!W18," (",Data!V18,")")</f>
        <v>Idling &gt;5 mins and  &lt;100 m (Ignition: 1.00)</v>
      </c>
      <c r="O20" s="42" t="str">
        <f>IF(Data!V18&lt;&gt;"",N20,Data!W18)</f>
        <v>Idling &gt;5 mins and  &lt;100 m (Ignition: 1.00)</v>
      </c>
      <c r="P20" s="47" t="str">
        <f>Data!X18</f>
        <v>Valid</v>
      </c>
    </row>
    <row r="21" spans="1:16">
      <c r="A21" s="41" t="str">
        <f>Data!A19</f>
        <v>128</v>
      </c>
      <c r="B21" s="41" t="str">
        <f>Data!D19</f>
        <v>Digger, Diesel, Excavator/Tradestaff, Machines, Trade Staff</v>
      </c>
      <c r="C21" s="41" t="str">
        <f>Data!F19</f>
        <v>Paul</v>
      </c>
      <c r="D21" s="41" t="str">
        <f>Data!G19</f>
        <v>Travers</v>
      </c>
      <c r="E21" s="41" t="str">
        <f>Data!H19</f>
        <v>paul.travers</v>
      </c>
      <c r="F21" s="41" t="str">
        <f>Data!K19</f>
        <v>Excavator/Tradestaff, Grader/Trade Staff, HDV/Trade Staff, Loader/Trade Staff, Roller/Trade Staff, Telehandler/Trade Staff, Trade Staff</v>
      </c>
      <c r="G21" s="33" t="str">
        <f>Data!M19</f>
        <v>Idling &gt;5 mins and  &lt;100 m</v>
      </c>
      <c r="H21" s="41" t="str">
        <f>Data!P19</f>
        <v>Morningside: 74 Morningside Road, Morningside, Whangārei 0110, New Zealand</v>
      </c>
      <c r="I21" s="42" t="str">
        <f>Data!Q19</f>
        <v>Project</v>
      </c>
      <c r="J21" s="43">
        <f>Data!S19</f>
        <v>45976.468257291664</v>
      </c>
      <c r="K21" s="44">
        <f>Data!S19</f>
        <v>45976.468257291664</v>
      </c>
      <c r="L21" s="45">
        <f>Data!T19</f>
        <v>3.8735416666666666E-3</v>
      </c>
      <c r="M21" s="46">
        <f>Data!U19</f>
        <v>9.2259243130683899E-2</v>
      </c>
      <c r="N21" s="46" t="str">
        <f>CONCATENATE(Data!W19," (",Data!V19,")")</f>
        <v>Idling &gt;5 mins and  &lt;100 m (Ignition: 1.00)</v>
      </c>
      <c r="O21" s="42" t="str">
        <f>IF(Data!V19&lt;&gt;"",N21,Data!W19)</f>
        <v>Idling &gt;5 mins and  &lt;100 m (Ignition: 1.00)</v>
      </c>
      <c r="P21" s="47" t="str">
        <f>Data!X19</f>
        <v>Valid</v>
      </c>
    </row>
    <row r="22" spans="1:16">
      <c r="A22" s="41" t="str">
        <f>Data!A20</f>
        <v>128</v>
      </c>
      <c r="B22" s="41" t="str">
        <f>Data!D20</f>
        <v>Digger, Diesel, Excavator/Tradestaff, Machines, Trade Staff</v>
      </c>
      <c r="C22" s="41" t="str">
        <f>Data!F20</f>
        <v>Paul</v>
      </c>
      <c r="D22" s="41" t="str">
        <f>Data!G20</f>
        <v>Travers</v>
      </c>
      <c r="E22" s="41" t="str">
        <f>Data!H20</f>
        <v>paul.travers</v>
      </c>
      <c r="F22" s="41" t="str">
        <f>Data!K20</f>
        <v>Excavator/Tradestaff, Grader/Trade Staff, HDV/Trade Staff, Loader/Trade Staff, Roller/Trade Staff, Telehandler/Trade Staff, Trade Staff</v>
      </c>
      <c r="G22" s="33" t="str">
        <f>Data!M20</f>
        <v>Idling &gt;5 mins and  &lt;100 m</v>
      </c>
      <c r="H22" s="41" t="str">
        <f>Data!P20</f>
        <v>Morningside: 74 Morningside Road, Morningside, Whangārei 0110, New Zealand</v>
      </c>
      <c r="I22" s="42" t="str">
        <f>Data!Q20</f>
        <v>Project</v>
      </c>
      <c r="J22" s="43">
        <f>Data!S20</f>
        <v>45976.482595914349</v>
      </c>
      <c r="K22" s="44">
        <f>Data!S20</f>
        <v>45976.482595914349</v>
      </c>
      <c r="L22" s="45">
        <f>Data!T20</f>
        <v>4.2746527777777774E-3</v>
      </c>
      <c r="M22" s="46">
        <f>Data!U20</f>
        <v>2.4742059409618378E-2</v>
      </c>
      <c r="N22" s="46" t="str">
        <f>CONCATENATE(Data!W20," (",Data!V20,")")</f>
        <v>Idling &gt;5 mins and  &lt;100 m (Ignition: 1.00)</v>
      </c>
      <c r="O22" s="42" t="str">
        <f>IF(Data!V20&lt;&gt;"",N22,Data!W20)</f>
        <v>Idling &gt;5 mins and  &lt;100 m (Ignition: 1.00)</v>
      </c>
      <c r="P22" s="47" t="str">
        <f>Data!X20</f>
        <v>Valid</v>
      </c>
    </row>
    <row r="23" spans="1:16">
      <c r="A23" s="41" t="str">
        <f>Data!A21</f>
        <v>128</v>
      </c>
      <c r="B23" s="41" t="str">
        <f>Data!D21</f>
        <v>Digger, Diesel, Excavator/Tradestaff, Machines, Trade Staff</v>
      </c>
      <c r="C23" s="41" t="str">
        <f>Data!F21</f>
        <v>Paul</v>
      </c>
      <c r="D23" s="41" t="str">
        <f>Data!G21</f>
        <v>Travers</v>
      </c>
      <c r="E23" s="41" t="str">
        <f>Data!H21</f>
        <v>paul.travers</v>
      </c>
      <c r="F23" s="41" t="str">
        <f>Data!K21</f>
        <v>Excavator/Tradestaff, Grader/Trade Staff, HDV/Trade Staff, Loader/Trade Staff, Roller/Trade Staff, Telehandler/Trade Staff, Trade Staff</v>
      </c>
      <c r="G23" s="33" t="str">
        <f>Data!M21</f>
        <v>Idling &gt;5 mins and  &lt;100 m</v>
      </c>
      <c r="H23" s="41" t="str">
        <f>Data!P21</f>
        <v>Morningside: 74 Morningside Road, Morningside, Whangārei 0110, New Zealand</v>
      </c>
      <c r="I23" s="42" t="str">
        <f>Data!Q21</f>
        <v>Project</v>
      </c>
      <c r="J23" s="43">
        <f>Data!S21</f>
        <v>45976.487577129628</v>
      </c>
      <c r="K23" s="44">
        <f>Data!S21</f>
        <v>45976.487577129628</v>
      </c>
      <c r="L23" s="45">
        <f>Data!T21</f>
        <v>1.8453368055555554E-2</v>
      </c>
      <c r="M23" s="46">
        <f>Data!U21</f>
        <v>4.2736146599054337E-2</v>
      </c>
      <c r="N23" s="46" t="str">
        <f>CONCATENATE(Data!W21," (",Data!V21,")")</f>
        <v>Idling &gt;5 mins and  &lt;100 m (Ignition: 1.00)</v>
      </c>
      <c r="O23" s="42" t="str">
        <f>IF(Data!V21&lt;&gt;"",N23,Data!W21)</f>
        <v>Idling &gt;5 mins and  &lt;100 m (Ignition: 1.00)</v>
      </c>
      <c r="P23" s="47" t="str">
        <f>Data!X21</f>
        <v>Valid</v>
      </c>
    </row>
    <row r="24" spans="1:16">
      <c r="A24" s="41" t="str">
        <f>Data!A22</f>
        <v>128</v>
      </c>
      <c r="B24" s="41" t="str">
        <f>Data!D22</f>
        <v>Digger, Diesel, Excavator/Tradestaff, Machines, Trade Staff</v>
      </c>
      <c r="C24" s="41" t="str">
        <f>Data!F22</f>
        <v>Paul</v>
      </c>
      <c r="D24" s="41" t="str">
        <f>Data!G22</f>
        <v>Travers</v>
      </c>
      <c r="E24" s="41" t="str">
        <f>Data!H22</f>
        <v>paul.travers</v>
      </c>
      <c r="F24" s="41" t="str">
        <f>Data!K22</f>
        <v>Excavator/Tradestaff, Grader/Trade Staff, HDV/Trade Staff, Loader/Trade Staff, Roller/Trade Staff, Telehandler/Trade Staff, Trade Staff</v>
      </c>
      <c r="G24" s="33" t="str">
        <f>Data!M22</f>
        <v>Idling &gt;10 mins and  &lt;100 m</v>
      </c>
      <c r="H24" s="41" t="str">
        <f>Data!P22</f>
        <v>Morningside: 74 Morningside Road, Morningside, Whangārei 0110, New Zealand</v>
      </c>
      <c r="I24" s="42" t="str">
        <f>Data!Q22</f>
        <v>Project</v>
      </c>
      <c r="J24" s="43">
        <f>Data!S22</f>
        <v>45976.487577129628</v>
      </c>
      <c r="K24" s="44">
        <f>Data!S22</f>
        <v>45976.487577129628</v>
      </c>
      <c r="L24" s="45">
        <f>Data!T22</f>
        <v>1.8453368055555554E-2</v>
      </c>
      <c r="M24" s="46">
        <f>Data!U22</f>
        <v>4.2736146599054337E-2</v>
      </c>
      <c r="N24" s="46" t="str">
        <f>CONCATENATE(Data!W22," (",Data!V22,")")</f>
        <v>Idling &gt;10 mins and  &lt;100 m (Ignition: 1.00)</v>
      </c>
      <c r="O24" s="42" t="str">
        <f>IF(Data!V22&lt;&gt;"",N24,Data!W22)</f>
        <v>Idling &gt;10 mins and  &lt;100 m (Ignition: 1.00)</v>
      </c>
      <c r="P24" s="47" t="str">
        <f>Data!X22</f>
        <v>Valid</v>
      </c>
    </row>
    <row r="25" spans="1:16">
      <c r="A25" s="41" t="str">
        <f>Data!A23</f>
        <v>141</v>
      </c>
      <c r="B25" s="41" t="str">
        <f>Data!D23</f>
        <v>Digger, Excavator/Tradestaff, Machines, Trade Staff</v>
      </c>
      <c r="C25" s="41">
        <f>Data!F23</f>
        <v>0</v>
      </c>
      <c r="D25" s="41">
        <f>Data!G23</f>
        <v>0</v>
      </c>
      <c r="E25" s="41">
        <f>Data!H23</f>
        <v>0</v>
      </c>
      <c r="F25" s="41">
        <f>Data!K23</f>
        <v>0</v>
      </c>
      <c r="G25" s="33" t="str">
        <f>Data!M23</f>
        <v>Idling &gt;5 mins and  &lt;100 m</v>
      </c>
      <c r="H25" s="41" t="str">
        <f>Data!P23</f>
        <v>Morningside: 80 Morningside Road, Morningside, Whangārei 0110, New Zealand</v>
      </c>
      <c r="I25" s="42" t="str">
        <f>Data!Q23</f>
        <v>Project</v>
      </c>
      <c r="J25" s="43">
        <f>Data!S23</f>
        <v>45976.341867812502</v>
      </c>
      <c r="K25" s="44">
        <f>Data!S23</f>
        <v>45976.341867812502</v>
      </c>
      <c r="L25" s="45">
        <f>Data!T23</f>
        <v>6.7446319444444444E-2</v>
      </c>
      <c r="M25" s="46">
        <f>Data!U23</f>
        <v>0</v>
      </c>
      <c r="N25" s="46" t="str">
        <f>CONCATENATE(Data!W23," (",Data!V23,")")</f>
        <v>Idling &gt;5 mins and  &lt;100 m (Ignition: 1.00)</v>
      </c>
      <c r="O25" s="42" t="str">
        <f>IF(Data!V23&lt;&gt;"",N25,Data!W23)</f>
        <v>Idling &gt;5 mins and  &lt;100 m (Ignition: 1.00)</v>
      </c>
      <c r="P25" s="47" t="str">
        <f>Data!X23</f>
        <v>Valid</v>
      </c>
    </row>
    <row r="26" spans="1:16">
      <c r="A26" s="41" t="str">
        <f>Data!A24</f>
        <v>141</v>
      </c>
      <c r="B26" s="41" t="str">
        <f>Data!D24</f>
        <v>Digger, Excavator/Tradestaff, Machines, Trade Staff</v>
      </c>
      <c r="C26" s="41">
        <f>Data!F24</f>
        <v>0</v>
      </c>
      <c r="D26" s="41">
        <f>Data!G24</f>
        <v>0</v>
      </c>
      <c r="E26" s="41">
        <f>Data!H24</f>
        <v>0</v>
      </c>
      <c r="F26" s="41">
        <f>Data!K24</f>
        <v>0</v>
      </c>
      <c r="G26" s="33" t="str">
        <f>Data!M24</f>
        <v>Idling &gt;10 mins and  &lt;100 m</v>
      </c>
      <c r="H26" s="41" t="str">
        <f>Data!P24</f>
        <v>Morningside: 80 Morningside Road, Morningside, Whangārei 0110, New Zealand</v>
      </c>
      <c r="I26" s="42" t="str">
        <f>Data!Q24</f>
        <v>Project</v>
      </c>
      <c r="J26" s="43">
        <f>Data!S24</f>
        <v>45976.341867812502</v>
      </c>
      <c r="K26" s="44">
        <f>Data!S24</f>
        <v>45976.341867812502</v>
      </c>
      <c r="L26" s="45">
        <f>Data!T24</f>
        <v>6.7446319444444444E-2</v>
      </c>
      <c r="M26" s="46">
        <f>Data!U24</f>
        <v>0</v>
      </c>
      <c r="N26" s="46" t="str">
        <f>CONCATENATE(Data!W24," (",Data!V24,")")</f>
        <v>Idling &gt;10 mins and  &lt;100 m (Ignition: 1.00)</v>
      </c>
      <c r="O26" s="42" t="str">
        <f>IF(Data!V24&lt;&gt;"",N26,Data!W24)</f>
        <v>Idling &gt;10 mins and  &lt;100 m (Ignition: 1.00)</v>
      </c>
      <c r="P26" s="47" t="str">
        <f>Data!X24</f>
        <v>Valid</v>
      </c>
    </row>
    <row r="27" spans="1:16">
      <c r="A27" s="41" t="str">
        <f>Data!A25</f>
        <v>141</v>
      </c>
      <c r="B27" s="41" t="str">
        <f>Data!D25</f>
        <v>Digger, Excavator/Tradestaff, Machines, Trade Staff</v>
      </c>
      <c r="C27" s="41">
        <f>Data!F25</f>
        <v>0</v>
      </c>
      <c r="D27" s="41">
        <f>Data!G25</f>
        <v>0</v>
      </c>
      <c r="E27" s="41">
        <f>Data!H25</f>
        <v>0</v>
      </c>
      <c r="F27" s="41">
        <f>Data!K25</f>
        <v>0</v>
      </c>
      <c r="G27" s="33" t="str">
        <f>Data!M25</f>
        <v>Idling &gt;5 mins and  &lt;100 m</v>
      </c>
      <c r="H27" s="41" t="str">
        <f>Data!P25</f>
        <v>Morningside: 80 Morningside Road, Morningside, Whangārei 0110, New Zealand</v>
      </c>
      <c r="I27" s="42" t="str">
        <f>Data!Q25</f>
        <v>Project</v>
      </c>
      <c r="J27" s="43">
        <f>Data!S25</f>
        <v>45976.496216770836</v>
      </c>
      <c r="K27" s="44">
        <f>Data!S25</f>
        <v>45976.496216770836</v>
      </c>
      <c r="L27" s="45">
        <f>Data!T25</f>
        <v>3.847627314814815E-3</v>
      </c>
      <c r="M27" s="46">
        <f>Data!U25</f>
        <v>0</v>
      </c>
      <c r="N27" s="46" t="str">
        <f>CONCATENATE(Data!W25," (",Data!V25,")")</f>
        <v>Idling &gt;5 mins and  &lt;100 m (Ignition: 1.00)</v>
      </c>
      <c r="O27" s="42" t="str">
        <f>IF(Data!V25&lt;&gt;"",N27,Data!W25)</f>
        <v>Idling &gt;5 mins and  &lt;100 m (Ignition: 1.00)</v>
      </c>
      <c r="P27" s="47" t="str">
        <f>Data!X25</f>
        <v>Valid</v>
      </c>
    </row>
    <row r="28" spans="1:16">
      <c r="A28" s="41" t="str">
        <f>Data!A26</f>
        <v>141</v>
      </c>
      <c r="B28" s="41" t="str">
        <f>Data!D26</f>
        <v>Digger, Excavator/Tradestaff, Machines, Trade Staff</v>
      </c>
      <c r="C28" s="41">
        <f>Data!F26</f>
        <v>0</v>
      </c>
      <c r="D28" s="41">
        <f>Data!G26</f>
        <v>0</v>
      </c>
      <c r="E28" s="41">
        <f>Data!H26</f>
        <v>0</v>
      </c>
      <c r="F28" s="41">
        <f>Data!K26</f>
        <v>0</v>
      </c>
      <c r="G28" s="33" t="str">
        <f>Data!M26</f>
        <v>Idling &gt;5 mins and  &lt;100 m</v>
      </c>
      <c r="H28" s="41" t="str">
        <f>Data!P26</f>
        <v>Morningside: 80 Morningside Road, Morningside, Whangārei 0110, New Zealand</v>
      </c>
      <c r="I28" s="42" t="str">
        <f>Data!Q26</f>
        <v>Project</v>
      </c>
      <c r="J28" s="43">
        <f>Data!S26</f>
        <v>45976.538050706018</v>
      </c>
      <c r="K28" s="44">
        <f>Data!S26</f>
        <v>45976.538050706018</v>
      </c>
      <c r="L28" s="45">
        <f>Data!T26</f>
        <v>2.8308148148148148E-2</v>
      </c>
      <c r="M28" s="46">
        <f>Data!U26</f>
        <v>0</v>
      </c>
      <c r="N28" s="46" t="str">
        <f>CONCATENATE(Data!W26," (",Data!V26,")")</f>
        <v>Idling &gt;5 mins and  &lt;100 m (Ignition: 1.00)</v>
      </c>
      <c r="O28" s="42" t="str">
        <f>IF(Data!V26&lt;&gt;"",N28,Data!W26)</f>
        <v>Idling &gt;5 mins and  &lt;100 m (Ignition: 1.00)</v>
      </c>
      <c r="P28" s="47" t="str">
        <f>Data!X26</f>
        <v>Valid</v>
      </c>
    </row>
    <row r="29" spans="1:16">
      <c r="A29" s="41" t="str">
        <f>Data!A27</f>
        <v>141</v>
      </c>
      <c r="B29" s="41" t="str">
        <f>Data!D27</f>
        <v>Digger, Excavator/Tradestaff, Machines, Trade Staff</v>
      </c>
      <c r="C29" s="41">
        <f>Data!F27</f>
        <v>0</v>
      </c>
      <c r="D29" s="41">
        <f>Data!G27</f>
        <v>0</v>
      </c>
      <c r="E29" s="41">
        <f>Data!H27</f>
        <v>0</v>
      </c>
      <c r="F29" s="41">
        <f>Data!K27</f>
        <v>0</v>
      </c>
      <c r="G29" s="33" t="str">
        <f>Data!M27</f>
        <v>Idling &gt;10 mins and  &lt;100 m</v>
      </c>
      <c r="H29" s="41" t="str">
        <f>Data!P27</f>
        <v>Morningside: 80 Morningside Road, Morningside, Whangārei 0110, New Zealand</v>
      </c>
      <c r="I29" s="42" t="str">
        <f>Data!Q27</f>
        <v>Project</v>
      </c>
      <c r="J29" s="43">
        <f>Data!S27</f>
        <v>45976.538050706018</v>
      </c>
      <c r="K29" s="44">
        <f>Data!S27</f>
        <v>45976.538050706018</v>
      </c>
      <c r="L29" s="45">
        <f>Data!T27</f>
        <v>2.8308148148148148E-2</v>
      </c>
      <c r="M29" s="46">
        <f>Data!U27</f>
        <v>0</v>
      </c>
      <c r="N29" s="46" t="str">
        <f>CONCATENATE(Data!W27," (",Data!V27,")")</f>
        <v>Idling &gt;10 mins and  &lt;100 m (Ignition: 1.00)</v>
      </c>
      <c r="O29" s="42" t="str">
        <f>IF(Data!V27&lt;&gt;"",N29,Data!W27)</f>
        <v>Idling &gt;10 mins and  &lt;100 m (Ignition: 1.00)</v>
      </c>
      <c r="P29" s="47" t="str">
        <f>Data!X27</f>
        <v>Valid</v>
      </c>
    </row>
    <row r="30" spans="1:16">
      <c r="A30" s="41" t="str">
        <f>Data!A28</f>
        <v>141</v>
      </c>
      <c r="B30" s="41" t="str">
        <f>Data!D28</f>
        <v>Digger, Excavator/Tradestaff, Machines, Trade Staff</v>
      </c>
      <c r="C30" s="41">
        <f>Data!F28</f>
        <v>0</v>
      </c>
      <c r="D30" s="41">
        <f>Data!G28</f>
        <v>0</v>
      </c>
      <c r="E30" s="41">
        <f>Data!H28</f>
        <v>0</v>
      </c>
      <c r="F30" s="41">
        <f>Data!K28</f>
        <v>0</v>
      </c>
      <c r="G30" s="33" t="str">
        <f>Data!M28</f>
        <v>Idling &gt;5 mins and  &lt;100 m</v>
      </c>
      <c r="H30" s="41" t="str">
        <f>Data!P28</f>
        <v>Morningside: 80 Morningside Road, Morningside, Whangārei 0110, New Zealand</v>
      </c>
      <c r="I30" s="42" t="str">
        <f>Data!Q28</f>
        <v>Project</v>
      </c>
      <c r="J30" s="43">
        <f>Data!S28</f>
        <v>45976.571733912038</v>
      </c>
      <c r="K30" s="44">
        <f>Data!S28</f>
        <v>45976.571733912038</v>
      </c>
      <c r="L30" s="45">
        <f>Data!T28</f>
        <v>3.0982175925925927E-2</v>
      </c>
      <c r="M30" s="46">
        <f>Data!U28</f>
        <v>0</v>
      </c>
      <c r="N30" s="46" t="str">
        <f>CONCATENATE(Data!W28," (",Data!V28,")")</f>
        <v>Idling &gt;5 mins and  &lt;100 m (Ignition: 1.00)</v>
      </c>
      <c r="O30" s="42" t="str">
        <f>IF(Data!V28&lt;&gt;"",N30,Data!W28)</f>
        <v>Idling &gt;5 mins and  &lt;100 m (Ignition: 1.00)</v>
      </c>
      <c r="P30" s="47" t="str">
        <f>Data!X28</f>
        <v>Valid</v>
      </c>
    </row>
    <row r="31" spans="1:16">
      <c r="A31" s="41" t="str">
        <f>Data!A29</f>
        <v>141</v>
      </c>
      <c r="B31" s="41" t="str">
        <f>Data!D29</f>
        <v>Digger, Excavator/Tradestaff, Machines, Trade Staff</v>
      </c>
      <c r="C31" s="41">
        <f>Data!F29</f>
        <v>0</v>
      </c>
      <c r="D31" s="41">
        <f>Data!G29</f>
        <v>0</v>
      </c>
      <c r="E31" s="41">
        <f>Data!H29</f>
        <v>0</v>
      </c>
      <c r="F31" s="41">
        <f>Data!K29</f>
        <v>0</v>
      </c>
      <c r="G31" s="33" t="str">
        <f>Data!M29</f>
        <v>Idling &gt;10 mins and  &lt;100 m</v>
      </c>
      <c r="H31" s="41" t="str">
        <f>Data!P29</f>
        <v>Morningside: 80 Morningside Road, Morningside, Whangārei 0110, New Zealand</v>
      </c>
      <c r="I31" s="42" t="str">
        <f>Data!Q29</f>
        <v>Project</v>
      </c>
      <c r="J31" s="43">
        <f>Data!S29</f>
        <v>45976.571733912038</v>
      </c>
      <c r="K31" s="44">
        <f>Data!S29</f>
        <v>45976.571733912038</v>
      </c>
      <c r="L31" s="45">
        <f>Data!T29</f>
        <v>3.0982175925925927E-2</v>
      </c>
      <c r="M31" s="46">
        <f>Data!U29</f>
        <v>0</v>
      </c>
      <c r="N31" s="46" t="str">
        <f>CONCATENATE(Data!W29," (",Data!V29,")")</f>
        <v>Idling &gt;10 mins and  &lt;100 m (Ignition: 1.00)</v>
      </c>
      <c r="O31" s="42" t="str">
        <f>IF(Data!V29&lt;&gt;"",N31,Data!W29)</f>
        <v>Idling &gt;10 mins and  &lt;100 m (Ignition: 1.00)</v>
      </c>
      <c r="P31" s="47" t="str">
        <f>Data!X29</f>
        <v>Valid</v>
      </c>
    </row>
    <row r="32" spans="1:16">
      <c r="A32" s="41" t="str">
        <f>Data!A30</f>
        <v>141</v>
      </c>
      <c r="B32" s="41" t="str">
        <f>Data!D30</f>
        <v>Digger, Excavator/Tradestaff, Machines, Trade Staff</v>
      </c>
      <c r="C32" s="41">
        <f>Data!F30</f>
        <v>0</v>
      </c>
      <c r="D32" s="41">
        <f>Data!G30</f>
        <v>0</v>
      </c>
      <c r="E32" s="41">
        <f>Data!H30</f>
        <v>0</v>
      </c>
      <c r="F32" s="41">
        <f>Data!K30</f>
        <v>0</v>
      </c>
      <c r="G32" s="33" t="str">
        <f>Data!M30</f>
        <v>Idling &gt;5 mins and  &lt;100 m</v>
      </c>
      <c r="H32" s="41" t="str">
        <f>Data!P30</f>
        <v>Morningside: 80 Morningside Road, Morningside, Whangārei 0110, New Zealand</v>
      </c>
      <c r="I32" s="42" t="str">
        <f>Data!Q30</f>
        <v>Project</v>
      </c>
      <c r="J32" s="43">
        <f>Data!S30</f>
        <v>45976.603412314813</v>
      </c>
      <c r="K32" s="44">
        <f>Data!S30</f>
        <v>45976.603412314813</v>
      </c>
      <c r="L32" s="45">
        <f>Data!T30</f>
        <v>8.4594791666666672E-3</v>
      </c>
      <c r="M32" s="46">
        <f>Data!U30</f>
        <v>0</v>
      </c>
      <c r="N32" s="46" t="str">
        <f>CONCATENATE(Data!W30," (",Data!V30,")")</f>
        <v>Idling &gt;5 mins and  &lt;100 m (Ignition: 1.00)</v>
      </c>
      <c r="O32" s="42" t="str">
        <f>IF(Data!V30&lt;&gt;"",N32,Data!W30)</f>
        <v>Idling &gt;5 mins and  &lt;100 m (Ignition: 1.00)</v>
      </c>
      <c r="P32" s="47" t="str">
        <f>Data!X30</f>
        <v>Valid</v>
      </c>
    </row>
    <row r="33" spans="1:16">
      <c r="A33" s="41" t="str">
        <f>Data!A31</f>
        <v>141</v>
      </c>
      <c r="B33" s="41" t="str">
        <f>Data!D31</f>
        <v>Digger, Excavator/Tradestaff, Machines, Trade Staff</v>
      </c>
      <c r="C33" s="41">
        <f>Data!F31</f>
        <v>0</v>
      </c>
      <c r="D33" s="41">
        <f>Data!G31</f>
        <v>0</v>
      </c>
      <c r="E33" s="41">
        <f>Data!H31</f>
        <v>0</v>
      </c>
      <c r="F33" s="41">
        <f>Data!K31</f>
        <v>0</v>
      </c>
      <c r="G33" s="33" t="str">
        <f>Data!M31</f>
        <v>Idling &gt;10 mins and  &lt;100 m</v>
      </c>
      <c r="H33" s="41" t="str">
        <f>Data!P31</f>
        <v>Morningside: 80 Morningside Road, Morningside, Whangārei 0110, New Zealand</v>
      </c>
      <c r="I33" s="42" t="str">
        <f>Data!Q31</f>
        <v>Project</v>
      </c>
      <c r="J33" s="43">
        <f>Data!S31</f>
        <v>45976.603412314813</v>
      </c>
      <c r="K33" s="44">
        <f>Data!S31</f>
        <v>45976.603412314813</v>
      </c>
      <c r="L33" s="45">
        <f>Data!T31</f>
        <v>8.4594791666666672E-3</v>
      </c>
      <c r="M33" s="46">
        <f>Data!U31</f>
        <v>0</v>
      </c>
      <c r="N33" s="46" t="str">
        <f>CONCATENATE(Data!W31," (",Data!V31,")")</f>
        <v>Idling &gt;10 mins and  &lt;100 m (Ignition: 1.00)</v>
      </c>
      <c r="O33" s="42" t="str">
        <f>IF(Data!V31&lt;&gt;"",N33,Data!W31)</f>
        <v>Idling &gt;10 mins and  &lt;100 m (Ignition: 1.00)</v>
      </c>
      <c r="P33" s="47" t="str">
        <f>Data!X31</f>
        <v>Valid</v>
      </c>
    </row>
    <row r="34" spans="1:16">
      <c r="A34" s="41" t="str">
        <f>Data!A32</f>
        <v>141</v>
      </c>
      <c r="B34" s="41" t="str">
        <f>Data!D32</f>
        <v>Digger, Excavator/Tradestaff, Machines, Trade Staff</v>
      </c>
      <c r="C34" s="41">
        <f>Data!F32</f>
        <v>0</v>
      </c>
      <c r="D34" s="41">
        <f>Data!G32</f>
        <v>0</v>
      </c>
      <c r="E34" s="41">
        <f>Data!H32</f>
        <v>0</v>
      </c>
      <c r="F34" s="41">
        <f>Data!K32</f>
        <v>0</v>
      </c>
      <c r="G34" s="33" t="str">
        <f>Data!M32</f>
        <v>Idling &gt;5 mins and  &lt;100 m</v>
      </c>
      <c r="H34" s="41" t="str">
        <f>Data!P32</f>
        <v>Morningside: 80 Morningside Road, Morningside, Whangārei 0110, New Zealand</v>
      </c>
      <c r="I34" s="42" t="str">
        <f>Data!Q32</f>
        <v>Project</v>
      </c>
      <c r="J34" s="43">
        <f>Data!S32</f>
        <v>45976.626152812503</v>
      </c>
      <c r="K34" s="44">
        <f>Data!S32</f>
        <v>45976.626152812503</v>
      </c>
      <c r="L34" s="45">
        <f>Data!T32</f>
        <v>3.9965949074074074E-2</v>
      </c>
      <c r="M34" s="46">
        <f>Data!U32</f>
        <v>0</v>
      </c>
      <c r="N34" s="46" t="str">
        <f>CONCATENATE(Data!W32," (",Data!V32,")")</f>
        <v>Idling &gt;5 mins and  &lt;100 m (Ignition: 1.00)</v>
      </c>
      <c r="O34" s="42" t="str">
        <f>IF(Data!V32&lt;&gt;"",N34,Data!W32)</f>
        <v>Idling &gt;5 mins and  &lt;100 m (Ignition: 1.00)</v>
      </c>
      <c r="P34" s="47" t="str">
        <f>Data!X32</f>
        <v>Valid</v>
      </c>
    </row>
    <row r="35" spans="1:16">
      <c r="A35" s="41" t="str">
        <f>Data!A33</f>
        <v>141</v>
      </c>
      <c r="B35" s="41" t="str">
        <f>Data!D33</f>
        <v>Digger, Excavator/Tradestaff, Machines, Trade Staff</v>
      </c>
      <c r="C35" s="41">
        <f>Data!F33</f>
        <v>0</v>
      </c>
      <c r="D35" s="41">
        <f>Data!G33</f>
        <v>0</v>
      </c>
      <c r="E35" s="41">
        <f>Data!H33</f>
        <v>0</v>
      </c>
      <c r="F35" s="41">
        <f>Data!K33</f>
        <v>0</v>
      </c>
      <c r="G35" s="33" t="str">
        <f>Data!M33</f>
        <v>Idling &gt;10 mins and  &lt;100 m</v>
      </c>
      <c r="H35" s="41" t="str">
        <f>Data!P33</f>
        <v>Morningside: 80 Morningside Road, Morningside, Whangārei 0110, New Zealand</v>
      </c>
      <c r="I35" s="42" t="str">
        <f>Data!Q33</f>
        <v>Project</v>
      </c>
      <c r="J35" s="43">
        <f>Data!S33</f>
        <v>45976.626152812503</v>
      </c>
      <c r="K35" s="44">
        <f>Data!S33</f>
        <v>45976.626152812503</v>
      </c>
      <c r="L35" s="45">
        <f>Data!T33</f>
        <v>3.9965949074074074E-2</v>
      </c>
      <c r="M35" s="46">
        <f>Data!U33</f>
        <v>0</v>
      </c>
      <c r="N35" s="46" t="str">
        <f>CONCATENATE(Data!W33," (",Data!V33,")")</f>
        <v>Idling &gt;10 mins and  &lt;100 m (Ignition: 1.00)</v>
      </c>
      <c r="O35" s="42" t="str">
        <f>IF(Data!V33&lt;&gt;"",N35,Data!W33)</f>
        <v>Idling &gt;10 mins and  &lt;100 m (Ignition: 1.00)</v>
      </c>
      <c r="P35" s="47" t="str">
        <f>Data!X33</f>
        <v>Valid</v>
      </c>
    </row>
    <row r="36" spans="1:16">
      <c r="A36" s="41" t="str">
        <f>Data!A34</f>
        <v>3414</v>
      </c>
      <c r="B36" s="41" t="str">
        <f>Data!D34</f>
        <v>Heavy Diesel Vehicles, HDV/Trade Staff, Machines, Trade Staff</v>
      </c>
      <c r="C36" s="41">
        <f>Data!F34</f>
        <v>0</v>
      </c>
      <c r="D36" s="41">
        <f>Data!G34</f>
        <v>0</v>
      </c>
      <c r="E36" s="41">
        <f>Data!H34</f>
        <v>0</v>
      </c>
      <c r="F36" s="41">
        <f>Data!K34</f>
        <v>0</v>
      </c>
      <c r="G36" s="33" t="str">
        <f>Data!M34</f>
        <v>Idling &gt;5 mins and  &lt;100 m</v>
      </c>
      <c r="H36" s="41" t="str">
        <f>Data!P34</f>
        <v>Ruakaka Solar Farm Site 2: 41 Mccathie Road, Ruakākā 0171, New Zealand</v>
      </c>
      <c r="I36" s="42" t="str">
        <f>Data!Q34</f>
        <v>Project</v>
      </c>
      <c r="J36" s="43">
        <f>Data!S34</f>
        <v>45976.298812442132</v>
      </c>
      <c r="K36" s="44">
        <f>Data!S34</f>
        <v>45976.298812442132</v>
      </c>
      <c r="L36" s="45">
        <f>Data!T34</f>
        <v>5.0154282407407404E-3</v>
      </c>
      <c r="M36" s="46">
        <f>Data!U34</f>
        <v>9.7542405128479004E-2</v>
      </c>
      <c r="N36" s="46" t="str">
        <f>CONCATENATE(Data!W34," (",Data!V34,")")</f>
        <v>Idling &gt;5 mins and  &lt;100 m (Ignition: 1.00)</v>
      </c>
      <c r="O36" s="42" t="str">
        <f>IF(Data!V34&lt;&gt;"",N36,Data!W34)</f>
        <v>Idling &gt;5 mins and  &lt;100 m (Ignition: 1.00)</v>
      </c>
      <c r="P36" s="47" t="str">
        <f>Data!X34</f>
        <v>Valid</v>
      </c>
    </row>
    <row r="37" spans="1:16">
      <c r="A37" s="41" t="str">
        <f>Data!A35</f>
        <v>519</v>
      </c>
      <c r="B37" s="41" t="str">
        <f>Data!D35</f>
        <v>Light Diesel Vehicles, Diesel, LDV/PM, PM</v>
      </c>
      <c r="C37" s="41" t="str">
        <f>Data!F35</f>
        <v>Wayne</v>
      </c>
      <c r="D37" s="41" t="str">
        <f>Data!G35</f>
        <v>Pepperell</v>
      </c>
      <c r="E37" s="41" t="str">
        <f>Data!H35</f>
        <v>wayne.pepperell@unitedcivil.co.nz</v>
      </c>
      <c r="F37" s="41" t="str">
        <f>Data!K35</f>
        <v>LDV/PM, PM</v>
      </c>
      <c r="G37" s="33" t="str">
        <f>Data!M35</f>
        <v>Idling &gt;5 mins and  &lt;100 m</v>
      </c>
      <c r="H37" s="41" t="str">
        <f>Data!P35</f>
        <v>26 Angus Lane, Te Kamo, Whangārei 0112, New Zealand</v>
      </c>
      <c r="I37" s="42">
        <f>Data!Q35</f>
        <v>0</v>
      </c>
      <c r="J37" s="43">
        <f>Data!S35</f>
        <v>45976.57995644676</v>
      </c>
      <c r="K37" s="44">
        <f>Data!S35</f>
        <v>45976.57995644676</v>
      </c>
      <c r="L37" s="45">
        <f>Data!T35</f>
        <v>3.531423611111111E-3</v>
      </c>
      <c r="M37" s="46">
        <f>Data!U35</f>
        <v>5.4281525313854218E-2</v>
      </c>
      <c r="N37" s="46" t="str">
        <f>CONCATENATE(Data!W35," (",Data!V35,")")</f>
        <v>Idling &gt;5 mins and  &lt;100 m (Ignition: 1.00)</v>
      </c>
      <c r="O37" s="42" t="str">
        <f>IF(Data!V35&lt;&gt;"",N37,Data!W35)</f>
        <v>Idling &gt;5 mins and  &lt;100 m (Ignition: 1.00)</v>
      </c>
      <c r="P37" s="47" t="str">
        <f>Data!X35</f>
        <v>Valid</v>
      </c>
    </row>
    <row r="38" spans="1:16">
      <c r="A38" s="41" t="str">
        <f>Data!A36</f>
        <v>536</v>
      </c>
      <c r="B38" s="41" t="str">
        <f>Data!D36</f>
        <v>Electric Vehicles, Battery Electric Vehicle, EV/Other Management, Other Management</v>
      </c>
      <c r="C38" s="41" t="str">
        <f>Data!F36</f>
        <v>Tony</v>
      </c>
      <c r="D38" s="41" t="str">
        <f>Data!G36</f>
        <v>Abiad</v>
      </c>
      <c r="E38" s="41" t="str">
        <f>Data!H36</f>
        <v>tony.abiad@unitedcivil.co.nz</v>
      </c>
      <c r="F38" s="41" t="str">
        <f>Data!K36</f>
        <v>EV/Other Management, Other Management</v>
      </c>
      <c r="G38" s="33" t="str">
        <f>Data!M36</f>
        <v>Idling &gt;5 mins and  &lt;100 m</v>
      </c>
      <c r="H38" s="41" t="str">
        <f>Data!P36</f>
        <v>510 Hart Drive, Frimley, Hastings 4120, New Zealand</v>
      </c>
      <c r="I38" s="42">
        <f>Data!Q36</f>
        <v>0</v>
      </c>
      <c r="J38" s="43">
        <f>Data!S36</f>
        <v>45976.387077974534</v>
      </c>
      <c r="K38" s="44">
        <f>Data!S36</f>
        <v>45976.387077974534</v>
      </c>
      <c r="L38" s="45">
        <f>Data!T36</f>
        <v>1.3786701388888888E-2</v>
      </c>
      <c r="M38" s="46">
        <f>Data!U36</f>
        <v>0</v>
      </c>
      <c r="N38" s="46" t="str">
        <f>CONCATENATE(Data!W36," (",Data!V36,")")</f>
        <v>Idling &gt;5 mins and  &lt;100 m (Ignition: 1.00)</v>
      </c>
      <c r="O38" s="42" t="str">
        <f>IF(Data!V36&lt;&gt;"",N38,Data!W36)</f>
        <v>Idling &gt;5 mins and  &lt;100 m (Ignition: 1.00)</v>
      </c>
      <c r="P38" s="47" t="str">
        <f>Data!X36</f>
        <v>Valid</v>
      </c>
    </row>
    <row r="39" spans="1:16">
      <c r="A39" s="41" t="str">
        <f>Data!A37</f>
        <v>536</v>
      </c>
      <c r="B39" s="41" t="str">
        <f>Data!D37</f>
        <v>Electric Vehicles, Battery Electric Vehicle, EV/Other Management, Other Management</v>
      </c>
      <c r="C39" s="41" t="str">
        <f>Data!F37</f>
        <v>Tony</v>
      </c>
      <c r="D39" s="41" t="str">
        <f>Data!G37</f>
        <v>Abiad</v>
      </c>
      <c r="E39" s="41" t="str">
        <f>Data!H37</f>
        <v>tony.abiad@unitedcivil.co.nz</v>
      </c>
      <c r="F39" s="41" t="str">
        <f>Data!K37</f>
        <v>EV/Other Management, Other Management</v>
      </c>
      <c r="G39" s="33" t="str">
        <f>Data!M37</f>
        <v>Idling &gt;10 mins and  &lt;100 m</v>
      </c>
      <c r="H39" s="41" t="str">
        <f>Data!P37</f>
        <v>510 Hart Drive, Frimley, Hastings 4120, New Zealand</v>
      </c>
      <c r="I39" s="42">
        <f>Data!Q37</f>
        <v>0</v>
      </c>
      <c r="J39" s="43">
        <f>Data!S37</f>
        <v>45976.387077974534</v>
      </c>
      <c r="K39" s="44">
        <f>Data!S37</f>
        <v>45976.387077974534</v>
      </c>
      <c r="L39" s="45">
        <f>Data!T37</f>
        <v>1.3786701388888888E-2</v>
      </c>
      <c r="M39" s="46">
        <f>Data!U37</f>
        <v>0</v>
      </c>
      <c r="N39" s="46" t="str">
        <f>CONCATENATE(Data!W37," (",Data!V37,")")</f>
        <v>Idling &gt;10 mins and  &lt;100 m (Ignition: 1.00)</v>
      </c>
      <c r="O39" s="42" t="str">
        <f>IF(Data!V37&lt;&gt;"",N39,Data!W37)</f>
        <v>Idling &gt;10 mins and  &lt;100 m (Ignition: 1.00)</v>
      </c>
      <c r="P39" s="47" t="str">
        <f>Data!X37</f>
        <v>Valid</v>
      </c>
    </row>
    <row r="40" spans="1:16">
      <c r="A40" s="41" t="str">
        <f>Data!A38</f>
        <v>536</v>
      </c>
      <c r="B40" s="41" t="str">
        <f>Data!D38</f>
        <v>Electric Vehicles, Battery Electric Vehicle, EV/Other Management, Other Management</v>
      </c>
      <c r="C40" s="41" t="str">
        <f>Data!F38</f>
        <v>Tony</v>
      </c>
      <c r="D40" s="41" t="str">
        <f>Data!G38</f>
        <v>Abiad</v>
      </c>
      <c r="E40" s="41" t="str">
        <f>Data!H38</f>
        <v>tony.abiad@unitedcivil.co.nz</v>
      </c>
      <c r="F40" s="41" t="str">
        <f>Data!K38</f>
        <v>EV/Other Management, Other Management</v>
      </c>
      <c r="G40" s="33" t="str">
        <f>Data!M38</f>
        <v>Idling &gt;10 mins and  &lt;100 m</v>
      </c>
      <c r="H40" s="41" t="str">
        <f>Data!P38</f>
        <v>510 Hart Drive, Frimley, Hastings 4120, New Zealand</v>
      </c>
      <c r="I40" s="42">
        <f>Data!Q38</f>
        <v>0</v>
      </c>
      <c r="J40" s="43">
        <f>Data!S38</f>
        <v>45976.685816863428</v>
      </c>
      <c r="K40" s="44">
        <f>Data!S38</f>
        <v>45976.685816863428</v>
      </c>
      <c r="L40" s="45">
        <f>Data!T38</f>
        <v>1.2358391203703703E-2</v>
      </c>
      <c r="M40" s="46">
        <f>Data!U38</f>
        <v>0</v>
      </c>
      <c r="N40" s="46" t="str">
        <f>CONCATENATE(Data!W38," (",Data!V38,")")</f>
        <v>Idling &gt;10 mins and  &lt;100 m (Ignition: 1.00)</v>
      </c>
      <c r="O40" s="42" t="str">
        <f>IF(Data!V38&lt;&gt;"",N40,Data!W38)</f>
        <v>Idling &gt;10 mins and  &lt;100 m (Ignition: 1.00)</v>
      </c>
      <c r="P40" s="47" t="str">
        <f>Data!X38</f>
        <v>Valid</v>
      </c>
    </row>
    <row r="41" spans="1:16">
      <c r="A41" s="41" t="str">
        <f>Data!A39</f>
        <v>536</v>
      </c>
      <c r="B41" s="41" t="str">
        <f>Data!D39</f>
        <v>Electric Vehicles, Battery Electric Vehicle, EV/Other Management, Other Management</v>
      </c>
      <c r="C41" s="41" t="str">
        <f>Data!F39</f>
        <v>Tony</v>
      </c>
      <c r="D41" s="41" t="str">
        <f>Data!G39</f>
        <v>Abiad</v>
      </c>
      <c r="E41" s="41" t="str">
        <f>Data!H39</f>
        <v>tony.abiad@unitedcivil.co.nz</v>
      </c>
      <c r="F41" s="41" t="str">
        <f>Data!K39</f>
        <v>EV/Other Management, Other Management</v>
      </c>
      <c r="G41" s="33" t="str">
        <f>Data!M39</f>
        <v>Idling &gt;5 mins and  &lt;100 m</v>
      </c>
      <c r="H41" s="41" t="str">
        <f>Data!P39</f>
        <v>510 Hart Drive, Frimley, Hastings 4120, New Zealand</v>
      </c>
      <c r="I41" s="42">
        <f>Data!Q39</f>
        <v>0</v>
      </c>
      <c r="J41" s="43">
        <f>Data!S39</f>
        <v>45976.685816863428</v>
      </c>
      <c r="K41" s="44">
        <f>Data!S39</f>
        <v>45976.685816863428</v>
      </c>
      <c r="L41" s="45">
        <f>Data!T39</f>
        <v>1.2358391203703703E-2</v>
      </c>
      <c r="M41" s="46">
        <f>Data!U39</f>
        <v>0</v>
      </c>
      <c r="N41" s="46" t="str">
        <f>CONCATENATE(Data!W39," (",Data!V39,")")</f>
        <v>Idling &gt;5 mins and  &lt;100 m (Ignition: 1.00)</v>
      </c>
      <c r="O41" s="42" t="str">
        <f>IF(Data!V39&lt;&gt;"",N41,Data!W39)</f>
        <v>Idling &gt;5 mins and  &lt;100 m (Ignition: 1.00)</v>
      </c>
      <c r="P41" s="47" t="str">
        <f>Data!X39</f>
        <v>Valid</v>
      </c>
    </row>
    <row r="42" spans="1:16">
      <c r="A42" s="41" t="str">
        <f>Data!A40</f>
        <v>536</v>
      </c>
      <c r="B42" s="41" t="str">
        <f>Data!D40</f>
        <v>Electric Vehicles, Battery Electric Vehicle, EV/Other Management, Other Management</v>
      </c>
      <c r="C42" s="41" t="str">
        <f>Data!F40</f>
        <v>Tony</v>
      </c>
      <c r="D42" s="41" t="str">
        <f>Data!G40</f>
        <v>Abiad</v>
      </c>
      <c r="E42" s="41" t="str">
        <f>Data!H40</f>
        <v>tony.abiad@unitedcivil.co.nz</v>
      </c>
      <c r="F42" s="41" t="str">
        <f>Data!K40</f>
        <v>EV/Other Management, Other Management</v>
      </c>
      <c r="G42" s="33" t="str">
        <f>Data!M40</f>
        <v>Idling &gt;5 mins and  &lt;100 m</v>
      </c>
      <c r="H42" s="41" t="str">
        <f>Data!P40</f>
        <v>510 Hart Drive, Frimley, Hastings 4120, New Zealand</v>
      </c>
      <c r="I42" s="42">
        <f>Data!Q40</f>
        <v>0</v>
      </c>
      <c r="J42" s="43">
        <f>Data!S40</f>
        <v>45976.725068599539</v>
      </c>
      <c r="K42" s="44">
        <f>Data!S40</f>
        <v>45976.725068599539</v>
      </c>
      <c r="L42" s="45">
        <f>Data!T40</f>
        <v>6.9187037037037038E-3</v>
      </c>
      <c r="M42" s="46">
        <f>Data!U40</f>
        <v>0</v>
      </c>
      <c r="N42" s="46" t="str">
        <f>CONCATENATE(Data!W40," (",Data!V40,")")</f>
        <v>Idling &gt;5 mins and  &lt;100 m (Ignition: 1.00)</v>
      </c>
      <c r="O42" s="42" t="str">
        <f>IF(Data!V40&lt;&gt;"",N42,Data!W40)</f>
        <v>Idling &gt;5 mins and  &lt;100 m (Ignition: 1.00)</v>
      </c>
      <c r="P42" s="47" t="str">
        <f>Data!X40</f>
        <v>Valid</v>
      </c>
    </row>
    <row r="43" spans="1:16">
      <c r="A43" s="41" t="str">
        <f>Data!A41</f>
        <v>536</v>
      </c>
      <c r="B43" s="41" t="str">
        <f>Data!D41</f>
        <v>Electric Vehicles, Battery Electric Vehicle, EV/Other Management, Other Management</v>
      </c>
      <c r="C43" s="41" t="str">
        <f>Data!F41</f>
        <v>Tony</v>
      </c>
      <c r="D43" s="41" t="str">
        <f>Data!G41</f>
        <v>Abiad</v>
      </c>
      <c r="E43" s="41" t="str">
        <f>Data!H41</f>
        <v>tony.abiad@unitedcivil.co.nz</v>
      </c>
      <c r="F43" s="41" t="str">
        <f>Data!K41</f>
        <v>EV/Other Management, Other Management</v>
      </c>
      <c r="G43" s="33" t="str">
        <f>Data!M41</f>
        <v>Idling &gt;5 mins and  &lt;100 m</v>
      </c>
      <c r="H43" s="41" t="str">
        <f>Data!P41</f>
        <v>510 Hart Drive, Frimley, Hastings 4120, New Zealand</v>
      </c>
      <c r="I43" s="42">
        <f>Data!Q41</f>
        <v>0</v>
      </c>
      <c r="J43" s="43">
        <f>Data!S41</f>
        <v>45976.854356076386</v>
      </c>
      <c r="K43" s="44">
        <f>Data!S41</f>
        <v>45976.854356076386</v>
      </c>
      <c r="L43" s="45">
        <f>Data!T41</f>
        <v>1.2171145833333334E-2</v>
      </c>
      <c r="M43" s="46">
        <f>Data!U41</f>
        <v>0</v>
      </c>
      <c r="N43" s="46" t="str">
        <f>CONCATENATE(Data!W41," (",Data!V41,")")</f>
        <v>Idling &gt;5 mins and  &lt;100 m (Ignition: 1.00)</v>
      </c>
      <c r="O43" s="42" t="str">
        <f>IF(Data!V41&lt;&gt;"",N43,Data!W41)</f>
        <v>Idling &gt;5 mins and  &lt;100 m (Ignition: 1.00)</v>
      </c>
      <c r="P43" s="47" t="str">
        <f>Data!X41</f>
        <v>Valid</v>
      </c>
    </row>
    <row r="44" spans="1:16">
      <c r="A44" s="41" t="str">
        <f>Data!A42</f>
        <v>536</v>
      </c>
      <c r="B44" s="41" t="str">
        <f>Data!D42</f>
        <v>Electric Vehicles, Battery Electric Vehicle, EV/Other Management, Other Management</v>
      </c>
      <c r="C44" s="41" t="str">
        <f>Data!F42</f>
        <v>Tony</v>
      </c>
      <c r="D44" s="41" t="str">
        <f>Data!G42</f>
        <v>Abiad</v>
      </c>
      <c r="E44" s="41" t="str">
        <f>Data!H42</f>
        <v>tony.abiad@unitedcivil.co.nz</v>
      </c>
      <c r="F44" s="41" t="str">
        <f>Data!K42</f>
        <v>EV/Other Management, Other Management</v>
      </c>
      <c r="G44" s="33" t="str">
        <f>Data!M42</f>
        <v>Idling &gt;10 mins and  &lt;100 m</v>
      </c>
      <c r="H44" s="41" t="str">
        <f>Data!P42</f>
        <v>510 Hart Drive, Frimley, Hastings 4120, New Zealand</v>
      </c>
      <c r="I44" s="42">
        <f>Data!Q42</f>
        <v>0</v>
      </c>
      <c r="J44" s="43">
        <f>Data!S42</f>
        <v>45976.854356076386</v>
      </c>
      <c r="K44" s="44">
        <f>Data!S42</f>
        <v>45976.854356076386</v>
      </c>
      <c r="L44" s="45">
        <f>Data!T42</f>
        <v>1.2171145833333334E-2</v>
      </c>
      <c r="M44" s="46">
        <f>Data!U42</f>
        <v>0</v>
      </c>
      <c r="N44" s="46" t="str">
        <f>CONCATENATE(Data!W42," (",Data!V42,")")</f>
        <v>Idling &gt;10 mins and  &lt;100 m (Ignition: 1.00)</v>
      </c>
      <c r="O44" s="42" t="str">
        <f>IF(Data!V42&lt;&gt;"",N44,Data!W42)</f>
        <v>Idling &gt;10 mins and  &lt;100 m (Ignition: 1.00)</v>
      </c>
      <c r="P44" s="47" t="str">
        <f>Data!X42</f>
        <v>Valid</v>
      </c>
    </row>
  </sheetData>
  <autoFilter ref="A13:O13" xr:uid="{00000000-0009-0000-0000-000001000000}"/>
  <mergeCells count="1">
    <mergeCell ref="A4:B4"/>
  </mergeCells>
  <conditionalFormatting sqref="H14:H44">
    <cfRule type="expression" dxfId="2" priority="2">
      <formula>ISNUMBER(SEARCH("Customer Zone", I14))</formula>
    </cfRule>
    <cfRule type="expression" dxfId="1" priority="3">
      <formula>ISNUMBER(SEARCH("Home Zone", I14))</formula>
    </cfRule>
    <cfRule type="expression" dxfId="0" priority="4">
      <formula>ISNUMBER(SEARCH("Depot Zone", I14))</formula>
    </cfRule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MJ30"/>
  <sheetViews>
    <sheetView showGridLines="0" tabSelected="1" zoomScaleNormal="100" workbookViewId="0"/>
  </sheetViews>
  <sheetFormatPr defaultColWidth="9.140625" defaultRowHeight="16.5"/>
  <cols>
    <col min="1" max="2" width="26" style="7" customWidth="1"/>
    <col min="3" max="4" width="26.140625" style="7" customWidth="1"/>
    <col min="5" max="5" width="26" style="7" customWidth="1"/>
    <col min="6" max="6" width="50.42578125" style="7" customWidth="1"/>
    <col min="7" max="8" width="16.42578125" style="8" bestFit="1" customWidth="1"/>
    <col min="9" max="10" width="15.42578125" style="7" customWidth="1"/>
    <col min="11" max="11" width="15.85546875" style="7" customWidth="1"/>
    <col min="12" max="12" width="6.42578125" style="7" customWidth="1"/>
    <col min="13" max="1024" width="9.140625" style="7"/>
  </cols>
  <sheetData>
    <row r="1" spans="1:1024" s="14" customFormat="1" ht="25.5" customHeight="1">
      <c r="A1" s="13" t="s">
        <v>620</v>
      </c>
      <c r="C1" s="15">
        <f>Data!B2</f>
        <v>45977.706717870373</v>
      </c>
      <c r="G1" s="48"/>
      <c r="H1" s="15"/>
      <c r="J1" s="15"/>
      <c r="K1" s="16"/>
      <c r="L1" s="17"/>
    </row>
    <row r="2" spans="1:1024" ht="25.5" customHeight="1">
      <c r="A2" s="18" t="str">
        <f>Data!B1</f>
        <v>United Civil Construction Limited</v>
      </c>
      <c r="I2" s="8"/>
      <c r="J2" s="8"/>
      <c r="K2" s="12"/>
      <c r="L2" s="19"/>
    </row>
    <row r="3" spans="1:1024" s="20" customFormat="1" ht="17.45" customHeight="1">
      <c r="A3" s="7"/>
      <c r="G3" s="21"/>
      <c r="H3" s="21"/>
      <c r="I3" s="21"/>
      <c r="J3" s="22"/>
      <c r="K3" s="23"/>
      <c r="L3" s="24"/>
      <c r="M3" s="25"/>
      <c r="N3" s="25"/>
      <c r="O3" s="21"/>
    </row>
    <row r="4" spans="1:1024" ht="17.45" customHeight="1">
      <c r="A4" s="70" t="s">
        <v>36</v>
      </c>
      <c r="B4" s="70"/>
      <c r="C4" s="27"/>
      <c r="D4" s="27"/>
      <c r="E4" s="27"/>
      <c r="F4" s="27"/>
      <c r="G4" s="43"/>
      <c r="I4" s="8"/>
      <c r="J4" s="9"/>
      <c r="K4" s="10"/>
      <c r="L4" s="11"/>
      <c r="M4" s="12"/>
      <c r="N4" s="12"/>
      <c r="O4" s="8"/>
    </row>
    <row r="5" spans="1:1024" ht="17.45" customHeight="1">
      <c r="A5" s="28" t="s">
        <v>621</v>
      </c>
      <c r="B5" s="29">
        <f>Data!B3</f>
        <v>45976</v>
      </c>
      <c r="C5" s="27"/>
      <c r="D5" s="27"/>
      <c r="E5" s="27"/>
      <c r="F5" s="27"/>
      <c r="G5" s="43"/>
      <c r="I5" s="8"/>
      <c r="J5" s="9"/>
      <c r="K5" s="10"/>
      <c r="L5" s="11"/>
      <c r="M5" s="12"/>
      <c r="N5" s="12"/>
      <c r="O5" s="8"/>
    </row>
    <row r="6" spans="1:1024" ht="17.45" customHeight="1">
      <c r="A6" s="28" t="s">
        <v>622</v>
      </c>
      <c r="B6" s="29">
        <f>Data!B4</f>
        <v>45976.999988425923</v>
      </c>
      <c r="C6" s="27"/>
      <c r="D6" s="27"/>
      <c r="E6" s="27"/>
      <c r="F6" s="27"/>
      <c r="G6" s="43"/>
      <c r="I6" s="8"/>
      <c r="J6" s="9"/>
      <c r="K6" s="10"/>
      <c r="L6" s="11"/>
      <c r="M6" s="12"/>
      <c r="N6" s="12"/>
      <c r="O6" s="8"/>
    </row>
    <row r="7" spans="1:1024" ht="17.45" customHeight="1">
      <c r="A7" s="28" t="s">
        <v>623</v>
      </c>
      <c r="B7" s="30">
        <f>B6-B5</f>
        <v>0.99998842592322035</v>
      </c>
      <c r="C7" s="27"/>
      <c r="D7" s="27"/>
      <c r="E7" s="27"/>
      <c r="F7" s="27"/>
      <c r="G7" s="43"/>
      <c r="I7" s="8"/>
      <c r="J7" s="9"/>
      <c r="K7" s="10"/>
      <c r="L7" s="11"/>
      <c r="M7" s="12"/>
      <c r="N7" s="12"/>
      <c r="O7" s="8"/>
    </row>
    <row r="8" spans="1:1024" s="69" customFormat="1" ht="17.45" customHeight="1">
      <c r="A8" s="59"/>
      <c r="B8" s="60"/>
      <c r="C8" s="61"/>
      <c r="D8" s="61"/>
      <c r="E8" s="61"/>
      <c r="F8" s="61"/>
      <c r="G8" s="62"/>
      <c r="H8" s="63"/>
      <c r="I8" s="63"/>
      <c r="J8" s="64"/>
      <c r="K8" s="65"/>
      <c r="L8" s="66"/>
      <c r="M8" s="67"/>
      <c r="N8" s="67"/>
      <c r="O8" s="63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  <c r="EL8" s="68"/>
      <c r="EM8" s="68"/>
      <c r="EN8" s="68"/>
      <c r="EO8" s="68"/>
      <c r="EP8" s="68"/>
      <c r="EQ8" s="68"/>
      <c r="ER8" s="68"/>
      <c r="ES8" s="68"/>
      <c r="ET8" s="68"/>
      <c r="EU8" s="68"/>
      <c r="EV8" s="68"/>
      <c r="EW8" s="68"/>
      <c r="EX8" s="68"/>
      <c r="EY8" s="68"/>
      <c r="EZ8" s="68"/>
      <c r="FA8" s="68"/>
      <c r="FB8" s="68"/>
      <c r="FC8" s="68"/>
      <c r="FD8" s="68"/>
      <c r="FE8" s="68"/>
      <c r="FF8" s="68"/>
      <c r="FG8" s="68"/>
      <c r="FH8" s="68"/>
      <c r="FI8" s="68"/>
      <c r="FJ8" s="68"/>
      <c r="FK8" s="68"/>
      <c r="FL8" s="68"/>
      <c r="FM8" s="68"/>
      <c r="FN8" s="68"/>
      <c r="FO8" s="68"/>
      <c r="FP8" s="68"/>
      <c r="FQ8" s="68"/>
      <c r="FR8" s="68"/>
      <c r="FS8" s="68"/>
      <c r="FT8" s="68"/>
      <c r="FU8" s="68"/>
      <c r="FV8" s="68"/>
      <c r="FW8" s="68"/>
      <c r="FX8" s="68"/>
      <c r="FY8" s="68"/>
      <c r="FZ8" s="68"/>
      <c r="GA8" s="68"/>
      <c r="GB8" s="68"/>
      <c r="GC8" s="68"/>
      <c r="GD8" s="68"/>
      <c r="GE8" s="68"/>
      <c r="GF8" s="68"/>
      <c r="GG8" s="68"/>
      <c r="GH8" s="68"/>
      <c r="GI8" s="68"/>
      <c r="GJ8" s="68"/>
      <c r="GK8" s="68"/>
      <c r="GL8" s="68"/>
      <c r="GM8" s="68"/>
      <c r="GN8" s="68"/>
      <c r="GO8" s="68"/>
      <c r="GP8" s="68"/>
      <c r="GQ8" s="68"/>
      <c r="GR8" s="68"/>
      <c r="GS8" s="68"/>
      <c r="GT8" s="68"/>
      <c r="GU8" s="68"/>
      <c r="GV8" s="68"/>
      <c r="GW8" s="68"/>
      <c r="GX8" s="68"/>
      <c r="GY8" s="68"/>
      <c r="GZ8" s="68"/>
      <c r="HA8" s="68"/>
      <c r="HB8" s="68"/>
      <c r="HC8" s="68"/>
      <c r="HD8" s="68"/>
      <c r="HE8" s="68"/>
      <c r="HF8" s="68"/>
      <c r="HG8" s="68"/>
      <c r="HH8" s="68"/>
      <c r="HI8" s="68"/>
      <c r="HJ8" s="68"/>
      <c r="HK8" s="68"/>
      <c r="HL8" s="68"/>
      <c r="HM8" s="68"/>
      <c r="HN8" s="68"/>
      <c r="HO8" s="68"/>
      <c r="HP8" s="68"/>
      <c r="HQ8" s="68"/>
      <c r="HR8" s="68"/>
      <c r="HS8" s="68"/>
      <c r="HT8" s="68"/>
      <c r="HU8" s="68"/>
      <c r="HV8" s="68"/>
      <c r="HW8" s="68"/>
      <c r="HX8" s="68"/>
      <c r="HY8" s="68"/>
      <c r="HZ8" s="68"/>
      <c r="IA8" s="68"/>
      <c r="IB8" s="68"/>
      <c r="IC8" s="68"/>
      <c r="ID8" s="68"/>
      <c r="IE8" s="68"/>
      <c r="IF8" s="68"/>
      <c r="IG8" s="68"/>
      <c r="IH8" s="68"/>
      <c r="II8" s="68"/>
      <c r="IJ8" s="68"/>
      <c r="IK8" s="68"/>
      <c r="IL8" s="68"/>
      <c r="IM8" s="68"/>
      <c r="IN8" s="68"/>
      <c r="IO8" s="68"/>
      <c r="IP8" s="68"/>
      <c r="IQ8" s="68"/>
      <c r="IR8" s="68"/>
      <c r="IS8" s="68"/>
      <c r="IT8" s="68"/>
      <c r="IU8" s="68"/>
      <c r="IV8" s="68"/>
      <c r="IW8" s="68"/>
      <c r="IX8" s="68"/>
      <c r="IY8" s="68"/>
      <c r="IZ8" s="68"/>
      <c r="JA8" s="68"/>
      <c r="JB8" s="68"/>
      <c r="JC8" s="68"/>
      <c r="JD8" s="68"/>
      <c r="JE8" s="68"/>
      <c r="JF8" s="68"/>
      <c r="JG8" s="68"/>
      <c r="JH8" s="68"/>
      <c r="JI8" s="68"/>
      <c r="JJ8" s="68"/>
      <c r="JK8" s="68"/>
      <c r="JL8" s="68"/>
      <c r="JM8" s="68"/>
      <c r="JN8" s="68"/>
      <c r="JO8" s="68"/>
      <c r="JP8" s="68"/>
      <c r="JQ8" s="68"/>
      <c r="JR8" s="68"/>
      <c r="JS8" s="68"/>
      <c r="JT8" s="68"/>
      <c r="JU8" s="68"/>
      <c r="JV8" s="68"/>
      <c r="JW8" s="68"/>
      <c r="JX8" s="68"/>
      <c r="JY8" s="68"/>
      <c r="JZ8" s="68"/>
      <c r="KA8" s="68"/>
      <c r="KB8" s="68"/>
      <c r="KC8" s="68"/>
      <c r="KD8" s="68"/>
      <c r="KE8" s="68"/>
      <c r="KF8" s="68"/>
      <c r="KG8" s="68"/>
      <c r="KH8" s="68"/>
      <c r="KI8" s="68"/>
      <c r="KJ8" s="68"/>
      <c r="KK8" s="68"/>
      <c r="KL8" s="68"/>
      <c r="KM8" s="68"/>
      <c r="KN8" s="68"/>
      <c r="KO8" s="68"/>
      <c r="KP8" s="68"/>
      <c r="KQ8" s="68"/>
      <c r="KR8" s="68"/>
      <c r="KS8" s="68"/>
      <c r="KT8" s="68"/>
      <c r="KU8" s="68"/>
      <c r="KV8" s="68"/>
      <c r="KW8" s="68"/>
      <c r="KX8" s="68"/>
      <c r="KY8" s="68"/>
      <c r="KZ8" s="68"/>
      <c r="LA8" s="68"/>
      <c r="LB8" s="68"/>
      <c r="LC8" s="68"/>
      <c r="LD8" s="68"/>
      <c r="LE8" s="68"/>
      <c r="LF8" s="68"/>
      <c r="LG8" s="68"/>
      <c r="LH8" s="68"/>
      <c r="LI8" s="68"/>
      <c r="LJ8" s="68"/>
      <c r="LK8" s="68"/>
      <c r="LL8" s="68"/>
      <c r="LM8" s="68"/>
      <c r="LN8" s="68"/>
      <c r="LO8" s="68"/>
      <c r="LP8" s="68"/>
      <c r="LQ8" s="68"/>
      <c r="LR8" s="68"/>
      <c r="LS8" s="68"/>
      <c r="LT8" s="68"/>
      <c r="LU8" s="68"/>
      <c r="LV8" s="68"/>
      <c r="LW8" s="68"/>
      <c r="LX8" s="68"/>
      <c r="LY8" s="68"/>
      <c r="LZ8" s="68"/>
      <c r="MA8" s="68"/>
      <c r="MB8" s="68"/>
      <c r="MC8" s="68"/>
      <c r="MD8" s="68"/>
      <c r="ME8" s="68"/>
      <c r="MF8" s="68"/>
      <c r="MG8" s="68"/>
      <c r="MH8" s="68"/>
      <c r="MI8" s="68"/>
      <c r="MJ8" s="68"/>
      <c r="MK8" s="68"/>
      <c r="ML8" s="68"/>
      <c r="MM8" s="68"/>
      <c r="MN8" s="68"/>
      <c r="MO8" s="68"/>
      <c r="MP8" s="68"/>
      <c r="MQ8" s="68"/>
      <c r="MR8" s="68"/>
      <c r="MS8" s="68"/>
      <c r="MT8" s="68"/>
      <c r="MU8" s="68"/>
      <c r="MV8" s="68"/>
      <c r="MW8" s="68"/>
      <c r="MX8" s="68"/>
      <c r="MY8" s="68"/>
      <c r="MZ8" s="68"/>
      <c r="NA8" s="68"/>
      <c r="NB8" s="68"/>
      <c r="NC8" s="68"/>
      <c r="ND8" s="68"/>
      <c r="NE8" s="68"/>
      <c r="NF8" s="68"/>
      <c r="NG8" s="68"/>
      <c r="NH8" s="68"/>
      <c r="NI8" s="68"/>
      <c r="NJ8" s="68"/>
      <c r="NK8" s="68"/>
      <c r="NL8" s="68"/>
      <c r="NM8" s="68"/>
      <c r="NN8" s="68"/>
      <c r="NO8" s="68"/>
      <c r="NP8" s="68"/>
      <c r="NQ8" s="68"/>
      <c r="NR8" s="68"/>
      <c r="NS8" s="68"/>
      <c r="NT8" s="68"/>
      <c r="NU8" s="68"/>
      <c r="NV8" s="68"/>
      <c r="NW8" s="68"/>
      <c r="NX8" s="68"/>
      <c r="NY8" s="68"/>
      <c r="NZ8" s="68"/>
      <c r="OA8" s="68"/>
      <c r="OB8" s="68"/>
      <c r="OC8" s="68"/>
      <c r="OD8" s="68"/>
      <c r="OE8" s="68"/>
      <c r="OF8" s="68"/>
      <c r="OG8" s="68"/>
      <c r="OH8" s="68"/>
      <c r="OI8" s="68"/>
      <c r="OJ8" s="68"/>
      <c r="OK8" s="68"/>
      <c r="OL8" s="68"/>
      <c r="OM8" s="68"/>
      <c r="ON8" s="68"/>
      <c r="OO8" s="68"/>
      <c r="OP8" s="68"/>
      <c r="OQ8" s="68"/>
      <c r="OR8" s="68"/>
      <c r="OS8" s="68"/>
      <c r="OT8" s="68"/>
      <c r="OU8" s="68"/>
      <c r="OV8" s="68"/>
      <c r="OW8" s="68"/>
      <c r="OX8" s="68"/>
      <c r="OY8" s="68"/>
      <c r="OZ8" s="68"/>
      <c r="PA8" s="68"/>
      <c r="PB8" s="68"/>
      <c r="PC8" s="68"/>
      <c r="PD8" s="68"/>
      <c r="PE8" s="68"/>
      <c r="PF8" s="68"/>
      <c r="PG8" s="68"/>
      <c r="PH8" s="68"/>
      <c r="PI8" s="68"/>
      <c r="PJ8" s="68"/>
      <c r="PK8" s="68"/>
      <c r="PL8" s="68"/>
      <c r="PM8" s="68"/>
      <c r="PN8" s="68"/>
      <c r="PO8" s="68"/>
      <c r="PP8" s="68"/>
      <c r="PQ8" s="68"/>
      <c r="PR8" s="68"/>
      <c r="PS8" s="68"/>
      <c r="PT8" s="68"/>
      <c r="PU8" s="68"/>
      <c r="PV8" s="68"/>
      <c r="PW8" s="68"/>
      <c r="PX8" s="68"/>
      <c r="PY8" s="68"/>
      <c r="PZ8" s="68"/>
      <c r="QA8" s="68"/>
      <c r="QB8" s="68"/>
      <c r="QC8" s="68"/>
      <c r="QD8" s="68"/>
      <c r="QE8" s="68"/>
      <c r="QF8" s="68"/>
      <c r="QG8" s="68"/>
      <c r="QH8" s="68"/>
      <c r="QI8" s="68"/>
      <c r="QJ8" s="68"/>
      <c r="QK8" s="68"/>
      <c r="QL8" s="68"/>
      <c r="QM8" s="68"/>
      <c r="QN8" s="68"/>
      <c r="QO8" s="68"/>
      <c r="QP8" s="68"/>
      <c r="QQ8" s="68"/>
      <c r="QR8" s="68"/>
      <c r="QS8" s="68"/>
      <c r="QT8" s="68"/>
      <c r="QU8" s="68"/>
      <c r="QV8" s="68"/>
      <c r="QW8" s="68"/>
      <c r="QX8" s="68"/>
      <c r="QY8" s="68"/>
      <c r="QZ8" s="68"/>
      <c r="RA8" s="68"/>
      <c r="RB8" s="68"/>
      <c r="RC8" s="68"/>
      <c r="RD8" s="68"/>
      <c r="RE8" s="68"/>
      <c r="RF8" s="68"/>
      <c r="RG8" s="68"/>
      <c r="RH8" s="68"/>
      <c r="RI8" s="68"/>
      <c r="RJ8" s="68"/>
      <c r="RK8" s="68"/>
      <c r="RL8" s="68"/>
      <c r="RM8" s="68"/>
      <c r="RN8" s="68"/>
      <c r="RO8" s="68"/>
      <c r="RP8" s="68"/>
      <c r="RQ8" s="68"/>
      <c r="RR8" s="68"/>
      <c r="RS8" s="68"/>
      <c r="RT8" s="68"/>
      <c r="RU8" s="68"/>
      <c r="RV8" s="68"/>
      <c r="RW8" s="68"/>
      <c r="RX8" s="68"/>
      <c r="RY8" s="68"/>
      <c r="RZ8" s="68"/>
      <c r="SA8" s="68"/>
      <c r="SB8" s="68"/>
      <c r="SC8" s="68"/>
      <c r="SD8" s="68"/>
      <c r="SE8" s="68"/>
      <c r="SF8" s="68"/>
      <c r="SG8" s="68"/>
      <c r="SH8" s="68"/>
      <c r="SI8" s="68"/>
      <c r="SJ8" s="68"/>
      <c r="SK8" s="68"/>
      <c r="SL8" s="68"/>
      <c r="SM8" s="68"/>
      <c r="SN8" s="68"/>
      <c r="SO8" s="68"/>
      <c r="SP8" s="68"/>
      <c r="SQ8" s="68"/>
      <c r="SR8" s="68"/>
      <c r="SS8" s="68"/>
      <c r="ST8" s="68"/>
      <c r="SU8" s="68"/>
      <c r="SV8" s="68"/>
      <c r="SW8" s="68"/>
      <c r="SX8" s="68"/>
      <c r="SY8" s="68"/>
      <c r="SZ8" s="68"/>
      <c r="TA8" s="68"/>
      <c r="TB8" s="68"/>
      <c r="TC8" s="68"/>
      <c r="TD8" s="68"/>
      <c r="TE8" s="68"/>
      <c r="TF8" s="68"/>
      <c r="TG8" s="68"/>
      <c r="TH8" s="68"/>
      <c r="TI8" s="68"/>
      <c r="TJ8" s="68"/>
      <c r="TK8" s="68"/>
      <c r="TL8" s="68"/>
      <c r="TM8" s="68"/>
      <c r="TN8" s="68"/>
      <c r="TO8" s="68"/>
      <c r="TP8" s="68"/>
      <c r="TQ8" s="68"/>
      <c r="TR8" s="68"/>
      <c r="TS8" s="68"/>
      <c r="TT8" s="68"/>
      <c r="TU8" s="68"/>
      <c r="TV8" s="68"/>
      <c r="TW8" s="68"/>
      <c r="TX8" s="68"/>
      <c r="TY8" s="68"/>
      <c r="TZ8" s="68"/>
      <c r="UA8" s="68"/>
      <c r="UB8" s="68"/>
      <c r="UC8" s="68"/>
      <c r="UD8" s="68"/>
      <c r="UE8" s="68"/>
      <c r="UF8" s="68"/>
      <c r="UG8" s="68"/>
      <c r="UH8" s="68"/>
      <c r="UI8" s="68"/>
      <c r="UJ8" s="68"/>
      <c r="UK8" s="68"/>
      <c r="UL8" s="68"/>
      <c r="UM8" s="68"/>
      <c r="UN8" s="68"/>
      <c r="UO8" s="68"/>
      <c r="UP8" s="68"/>
      <c r="UQ8" s="68"/>
      <c r="UR8" s="68"/>
      <c r="US8" s="68"/>
      <c r="UT8" s="68"/>
      <c r="UU8" s="68"/>
      <c r="UV8" s="68"/>
      <c r="UW8" s="68"/>
      <c r="UX8" s="68"/>
      <c r="UY8" s="68"/>
      <c r="UZ8" s="68"/>
      <c r="VA8" s="68"/>
      <c r="VB8" s="68"/>
      <c r="VC8" s="68"/>
      <c r="VD8" s="68"/>
      <c r="VE8" s="68"/>
      <c r="VF8" s="68"/>
      <c r="VG8" s="68"/>
      <c r="VH8" s="68"/>
      <c r="VI8" s="68"/>
      <c r="VJ8" s="68"/>
      <c r="VK8" s="68"/>
      <c r="VL8" s="68"/>
      <c r="VM8" s="68"/>
      <c r="VN8" s="68"/>
      <c r="VO8" s="68"/>
      <c r="VP8" s="68"/>
      <c r="VQ8" s="68"/>
      <c r="VR8" s="68"/>
      <c r="VS8" s="68"/>
      <c r="VT8" s="68"/>
      <c r="VU8" s="68"/>
      <c r="VV8" s="68"/>
      <c r="VW8" s="68"/>
      <c r="VX8" s="68"/>
      <c r="VY8" s="68"/>
      <c r="VZ8" s="68"/>
      <c r="WA8" s="68"/>
      <c r="WB8" s="68"/>
      <c r="WC8" s="68"/>
      <c r="WD8" s="68"/>
      <c r="WE8" s="68"/>
      <c r="WF8" s="68"/>
      <c r="WG8" s="68"/>
      <c r="WH8" s="68"/>
      <c r="WI8" s="68"/>
      <c r="WJ8" s="68"/>
      <c r="WK8" s="68"/>
      <c r="WL8" s="68"/>
      <c r="WM8" s="68"/>
      <c r="WN8" s="68"/>
      <c r="WO8" s="68"/>
      <c r="WP8" s="68"/>
      <c r="WQ8" s="68"/>
      <c r="WR8" s="68"/>
      <c r="WS8" s="68"/>
      <c r="WT8" s="68"/>
      <c r="WU8" s="68"/>
      <c r="WV8" s="68"/>
      <c r="WW8" s="68"/>
      <c r="WX8" s="68"/>
      <c r="WY8" s="68"/>
      <c r="WZ8" s="68"/>
      <c r="XA8" s="68"/>
      <c r="XB8" s="68"/>
      <c r="XC8" s="68"/>
      <c r="XD8" s="68"/>
      <c r="XE8" s="68"/>
      <c r="XF8" s="68"/>
      <c r="XG8" s="68"/>
      <c r="XH8" s="68"/>
      <c r="XI8" s="68"/>
      <c r="XJ8" s="68"/>
      <c r="XK8" s="68"/>
      <c r="XL8" s="68"/>
      <c r="XM8" s="68"/>
      <c r="XN8" s="68"/>
      <c r="XO8" s="68"/>
      <c r="XP8" s="68"/>
      <c r="XQ8" s="68"/>
      <c r="XR8" s="68"/>
      <c r="XS8" s="68"/>
      <c r="XT8" s="68"/>
      <c r="XU8" s="68"/>
      <c r="XV8" s="68"/>
      <c r="XW8" s="68"/>
      <c r="XX8" s="68"/>
      <c r="XY8" s="68"/>
      <c r="XZ8" s="68"/>
      <c r="YA8" s="68"/>
      <c r="YB8" s="68"/>
      <c r="YC8" s="68"/>
      <c r="YD8" s="68"/>
      <c r="YE8" s="68"/>
      <c r="YF8" s="68"/>
      <c r="YG8" s="68"/>
      <c r="YH8" s="68"/>
      <c r="YI8" s="68"/>
      <c r="YJ8" s="68"/>
      <c r="YK8" s="68"/>
      <c r="YL8" s="68"/>
      <c r="YM8" s="68"/>
      <c r="YN8" s="68"/>
      <c r="YO8" s="68"/>
      <c r="YP8" s="68"/>
      <c r="YQ8" s="68"/>
      <c r="YR8" s="68"/>
      <c r="YS8" s="68"/>
      <c r="YT8" s="68"/>
      <c r="YU8" s="68"/>
      <c r="YV8" s="68"/>
      <c r="YW8" s="68"/>
      <c r="YX8" s="68"/>
      <c r="YY8" s="68"/>
      <c r="YZ8" s="68"/>
      <c r="ZA8" s="68"/>
      <c r="ZB8" s="68"/>
      <c r="ZC8" s="68"/>
      <c r="ZD8" s="68"/>
      <c r="ZE8" s="68"/>
      <c r="ZF8" s="68"/>
      <c r="ZG8" s="68"/>
      <c r="ZH8" s="68"/>
      <c r="ZI8" s="68"/>
      <c r="ZJ8" s="68"/>
      <c r="ZK8" s="68"/>
      <c r="ZL8" s="68"/>
      <c r="ZM8" s="68"/>
      <c r="ZN8" s="68"/>
      <c r="ZO8" s="68"/>
      <c r="ZP8" s="68"/>
      <c r="ZQ8" s="68"/>
      <c r="ZR8" s="68"/>
      <c r="ZS8" s="68"/>
      <c r="ZT8" s="68"/>
      <c r="ZU8" s="68"/>
      <c r="ZV8" s="68"/>
      <c r="ZW8" s="68"/>
      <c r="ZX8" s="68"/>
      <c r="ZY8" s="68"/>
      <c r="ZZ8" s="68"/>
      <c r="AAA8" s="68"/>
      <c r="AAB8" s="68"/>
      <c r="AAC8" s="68"/>
      <c r="AAD8" s="68"/>
      <c r="AAE8" s="68"/>
      <c r="AAF8" s="68"/>
      <c r="AAG8" s="68"/>
      <c r="AAH8" s="68"/>
      <c r="AAI8" s="68"/>
      <c r="AAJ8" s="68"/>
      <c r="AAK8" s="68"/>
      <c r="AAL8" s="68"/>
      <c r="AAM8" s="68"/>
      <c r="AAN8" s="68"/>
      <c r="AAO8" s="68"/>
      <c r="AAP8" s="68"/>
      <c r="AAQ8" s="68"/>
      <c r="AAR8" s="68"/>
      <c r="AAS8" s="68"/>
      <c r="AAT8" s="68"/>
      <c r="AAU8" s="68"/>
      <c r="AAV8" s="68"/>
      <c r="AAW8" s="68"/>
      <c r="AAX8" s="68"/>
      <c r="AAY8" s="68"/>
      <c r="AAZ8" s="68"/>
      <c r="ABA8" s="68"/>
      <c r="ABB8" s="68"/>
      <c r="ABC8" s="68"/>
      <c r="ABD8" s="68"/>
      <c r="ABE8" s="68"/>
      <c r="ABF8" s="68"/>
      <c r="ABG8" s="68"/>
      <c r="ABH8" s="68"/>
      <c r="ABI8" s="68"/>
      <c r="ABJ8" s="68"/>
      <c r="ABK8" s="68"/>
      <c r="ABL8" s="68"/>
      <c r="ABM8" s="68"/>
      <c r="ABN8" s="68"/>
      <c r="ABO8" s="68"/>
      <c r="ABP8" s="68"/>
      <c r="ABQ8" s="68"/>
      <c r="ABR8" s="68"/>
      <c r="ABS8" s="68"/>
      <c r="ABT8" s="68"/>
      <c r="ABU8" s="68"/>
      <c r="ABV8" s="68"/>
      <c r="ABW8" s="68"/>
      <c r="ABX8" s="68"/>
      <c r="ABY8" s="68"/>
      <c r="ABZ8" s="68"/>
      <c r="ACA8" s="68"/>
      <c r="ACB8" s="68"/>
      <c r="ACC8" s="68"/>
      <c r="ACD8" s="68"/>
      <c r="ACE8" s="68"/>
      <c r="ACF8" s="68"/>
      <c r="ACG8" s="68"/>
      <c r="ACH8" s="68"/>
      <c r="ACI8" s="68"/>
      <c r="ACJ8" s="68"/>
      <c r="ACK8" s="68"/>
      <c r="ACL8" s="68"/>
      <c r="ACM8" s="68"/>
      <c r="ACN8" s="68"/>
      <c r="ACO8" s="68"/>
      <c r="ACP8" s="68"/>
      <c r="ACQ8" s="68"/>
      <c r="ACR8" s="68"/>
      <c r="ACS8" s="68"/>
      <c r="ACT8" s="68"/>
      <c r="ACU8" s="68"/>
      <c r="ACV8" s="68"/>
      <c r="ACW8" s="68"/>
      <c r="ACX8" s="68"/>
      <c r="ACY8" s="68"/>
      <c r="ACZ8" s="68"/>
      <c r="ADA8" s="68"/>
      <c r="ADB8" s="68"/>
      <c r="ADC8" s="68"/>
      <c r="ADD8" s="68"/>
      <c r="ADE8" s="68"/>
      <c r="ADF8" s="68"/>
      <c r="ADG8" s="68"/>
      <c r="ADH8" s="68"/>
      <c r="ADI8" s="68"/>
      <c r="ADJ8" s="68"/>
      <c r="ADK8" s="68"/>
      <c r="ADL8" s="68"/>
      <c r="ADM8" s="68"/>
      <c r="ADN8" s="68"/>
      <c r="ADO8" s="68"/>
      <c r="ADP8" s="68"/>
      <c r="ADQ8" s="68"/>
      <c r="ADR8" s="68"/>
      <c r="ADS8" s="68"/>
      <c r="ADT8" s="68"/>
      <c r="ADU8" s="68"/>
      <c r="ADV8" s="68"/>
      <c r="ADW8" s="68"/>
      <c r="ADX8" s="68"/>
      <c r="ADY8" s="68"/>
      <c r="ADZ8" s="68"/>
      <c r="AEA8" s="68"/>
      <c r="AEB8" s="68"/>
      <c r="AEC8" s="68"/>
      <c r="AED8" s="68"/>
      <c r="AEE8" s="68"/>
      <c r="AEF8" s="68"/>
      <c r="AEG8" s="68"/>
      <c r="AEH8" s="68"/>
      <c r="AEI8" s="68"/>
      <c r="AEJ8" s="68"/>
      <c r="AEK8" s="68"/>
      <c r="AEL8" s="68"/>
      <c r="AEM8" s="68"/>
      <c r="AEN8" s="68"/>
      <c r="AEO8" s="68"/>
      <c r="AEP8" s="68"/>
      <c r="AEQ8" s="68"/>
      <c r="AER8" s="68"/>
      <c r="AES8" s="68"/>
      <c r="AET8" s="68"/>
      <c r="AEU8" s="68"/>
      <c r="AEV8" s="68"/>
      <c r="AEW8" s="68"/>
      <c r="AEX8" s="68"/>
      <c r="AEY8" s="68"/>
      <c r="AEZ8" s="68"/>
      <c r="AFA8" s="68"/>
      <c r="AFB8" s="68"/>
      <c r="AFC8" s="68"/>
      <c r="AFD8" s="68"/>
      <c r="AFE8" s="68"/>
      <c r="AFF8" s="68"/>
      <c r="AFG8" s="68"/>
      <c r="AFH8" s="68"/>
      <c r="AFI8" s="68"/>
      <c r="AFJ8" s="68"/>
      <c r="AFK8" s="68"/>
      <c r="AFL8" s="68"/>
      <c r="AFM8" s="68"/>
      <c r="AFN8" s="68"/>
      <c r="AFO8" s="68"/>
      <c r="AFP8" s="68"/>
      <c r="AFQ8" s="68"/>
      <c r="AFR8" s="68"/>
      <c r="AFS8" s="68"/>
      <c r="AFT8" s="68"/>
      <c r="AFU8" s="68"/>
      <c r="AFV8" s="68"/>
      <c r="AFW8" s="68"/>
      <c r="AFX8" s="68"/>
      <c r="AFY8" s="68"/>
      <c r="AFZ8" s="68"/>
      <c r="AGA8" s="68"/>
      <c r="AGB8" s="68"/>
      <c r="AGC8" s="68"/>
      <c r="AGD8" s="68"/>
      <c r="AGE8" s="68"/>
      <c r="AGF8" s="68"/>
      <c r="AGG8" s="68"/>
      <c r="AGH8" s="68"/>
      <c r="AGI8" s="68"/>
      <c r="AGJ8" s="68"/>
      <c r="AGK8" s="68"/>
      <c r="AGL8" s="68"/>
      <c r="AGM8" s="68"/>
      <c r="AGN8" s="68"/>
      <c r="AGO8" s="68"/>
      <c r="AGP8" s="68"/>
      <c r="AGQ8" s="68"/>
      <c r="AGR8" s="68"/>
      <c r="AGS8" s="68"/>
      <c r="AGT8" s="68"/>
      <c r="AGU8" s="68"/>
      <c r="AGV8" s="68"/>
      <c r="AGW8" s="68"/>
      <c r="AGX8" s="68"/>
      <c r="AGY8" s="68"/>
      <c r="AGZ8" s="68"/>
      <c r="AHA8" s="68"/>
      <c r="AHB8" s="68"/>
      <c r="AHC8" s="68"/>
      <c r="AHD8" s="68"/>
      <c r="AHE8" s="68"/>
      <c r="AHF8" s="68"/>
      <c r="AHG8" s="68"/>
      <c r="AHH8" s="68"/>
      <c r="AHI8" s="68"/>
      <c r="AHJ8" s="68"/>
      <c r="AHK8" s="68"/>
      <c r="AHL8" s="68"/>
      <c r="AHM8" s="68"/>
      <c r="AHN8" s="68"/>
      <c r="AHO8" s="68"/>
      <c r="AHP8" s="68"/>
      <c r="AHQ8" s="68"/>
      <c r="AHR8" s="68"/>
      <c r="AHS8" s="68"/>
      <c r="AHT8" s="68"/>
      <c r="AHU8" s="68"/>
      <c r="AHV8" s="68"/>
      <c r="AHW8" s="68"/>
      <c r="AHX8" s="68"/>
      <c r="AHY8" s="68"/>
      <c r="AHZ8" s="68"/>
      <c r="AIA8" s="68"/>
      <c r="AIB8" s="68"/>
      <c r="AIC8" s="68"/>
      <c r="AID8" s="68"/>
      <c r="AIE8" s="68"/>
      <c r="AIF8" s="68"/>
      <c r="AIG8" s="68"/>
      <c r="AIH8" s="68"/>
      <c r="AII8" s="68"/>
      <c r="AIJ8" s="68"/>
      <c r="AIK8" s="68"/>
      <c r="AIL8" s="68"/>
      <c r="AIM8" s="68"/>
      <c r="AIN8" s="68"/>
      <c r="AIO8" s="68"/>
      <c r="AIP8" s="68"/>
      <c r="AIQ8" s="68"/>
      <c r="AIR8" s="68"/>
      <c r="AIS8" s="68"/>
      <c r="AIT8" s="68"/>
      <c r="AIU8" s="68"/>
      <c r="AIV8" s="68"/>
      <c r="AIW8" s="68"/>
      <c r="AIX8" s="68"/>
      <c r="AIY8" s="68"/>
      <c r="AIZ8" s="68"/>
      <c r="AJA8" s="68"/>
      <c r="AJB8" s="68"/>
      <c r="AJC8" s="68"/>
      <c r="AJD8" s="68"/>
      <c r="AJE8" s="68"/>
      <c r="AJF8" s="68"/>
      <c r="AJG8" s="68"/>
      <c r="AJH8" s="68"/>
      <c r="AJI8" s="68"/>
      <c r="AJJ8" s="68"/>
      <c r="AJK8" s="68"/>
      <c r="AJL8" s="68"/>
      <c r="AJM8" s="68"/>
      <c r="AJN8" s="68"/>
      <c r="AJO8" s="68"/>
      <c r="AJP8" s="68"/>
      <c r="AJQ8" s="68"/>
      <c r="AJR8" s="68"/>
      <c r="AJS8" s="68"/>
      <c r="AJT8" s="68"/>
      <c r="AJU8" s="68"/>
      <c r="AJV8" s="68"/>
      <c r="AJW8" s="68"/>
      <c r="AJX8" s="68"/>
      <c r="AJY8" s="68"/>
      <c r="AJZ8" s="68"/>
      <c r="AKA8" s="68"/>
      <c r="AKB8" s="68"/>
      <c r="AKC8" s="68"/>
      <c r="AKD8" s="68"/>
      <c r="AKE8" s="68"/>
      <c r="AKF8" s="68"/>
      <c r="AKG8" s="68"/>
      <c r="AKH8" s="68"/>
      <c r="AKI8" s="68"/>
      <c r="AKJ8" s="68"/>
      <c r="AKK8" s="68"/>
      <c r="AKL8" s="68"/>
      <c r="AKM8" s="68"/>
      <c r="AKN8" s="68"/>
      <c r="AKO8" s="68"/>
      <c r="AKP8" s="68"/>
      <c r="AKQ8" s="68"/>
      <c r="AKR8" s="68"/>
      <c r="AKS8" s="68"/>
      <c r="AKT8" s="68"/>
      <c r="AKU8" s="68"/>
      <c r="AKV8" s="68"/>
      <c r="AKW8" s="68"/>
      <c r="AKX8" s="68"/>
      <c r="AKY8" s="68"/>
      <c r="AKZ8" s="68"/>
      <c r="ALA8" s="68"/>
      <c r="ALB8" s="68"/>
      <c r="ALC8" s="68"/>
      <c r="ALD8" s="68"/>
      <c r="ALE8" s="68"/>
      <c r="ALF8" s="68"/>
      <c r="ALG8" s="68"/>
      <c r="ALH8" s="68"/>
      <c r="ALI8" s="68"/>
      <c r="ALJ8" s="68"/>
      <c r="ALK8" s="68"/>
      <c r="ALL8" s="68"/>
      <c r="ALM8" s="68"/>
      <c r="ALN8" s="68"/>
      <c r="ALO8" s="68"/>
      <c r="ALP8" s="68"/>
      <c r="ALQ8" s="68"/>
      <c r="ALR8" s="68"/>
      <c r="ALS8" s="68"/>
      <c r="ALT8" s="68"/>
      <c r="ALU8" s="68"/>
      <c r="ALV8" s="68"/>
      <c r="ALW8" s="68"/>
      <c r="ALX8" s="68"/>
      <c r="ALY8" s="68"/>
      <c r="ALZ8" s="68"/>
      <c r="AMA8" s="68"/>
      <c r="AMB8" s="68"/>
      <c r="AMC8" s="68"/>
      <c r="AMD8" s="68"/>
      <c r="AME8" s="68"/>
      <c r="AMF8" s="68"/>
      <c r="AMG8" s="68"/>
      <c r="AMH8" s="68"/>
      <c r="AMI8" s="68"/>
      <c r="AMJ8" s="68"/>
    </row>
    <row r="9" spans="1:1024" ht="17.45" customHeight="1">
      <c r="A9" s="26" t="s">
        <v>624</v>
      </c>
      <c r="B9" s="29" t="str">
        <f>Data!B5</f>
        <v>Pacific/Auckland</v>
      </c>
      <c r="C9" s="33"/>
      <c r="D9" s="33"/>
      <c r="E9" s="33"/>
      <c r="F9" s="33"/>
      <c r="G9" s="47"/>
      <c r="I9" s="8"/>
      <c r="J9" s="9"/>
      <c r="K9" s="10"/>
      <c r="L9" s="11"/>
      <c r="M9" s="12"/>
      <c r="N9" s="12"/>
      <c r="O9" s="8"/>
    </row>
    <row r="10" spans="1:1024" ht="17.45" customHeight="1">
      <c r="A10" s="26" t="s">
        <v>625</v>
      </c>
      <c r="B10" s="29" t="str">
        <f>Data!B6</f>
        <v>km</v>
      </c>
      <c r="C10" s="27"/>
      <c r="D10" s="27"/>
      <c r="E10" s="27"/>
      <c r="F10" s="27"/>
      <c r="G10" s="43"/>
      <c r="I10" s="8"/>
      <c r="J10" s="9"/>
      <c r="K10" s="10"/>
      <c r="L10" s="11"/>
      <c r="M10" s="12"/>
      <c r="N10" s="12"/>
      <c r="O10" s="8"/>
    </row>
    <row r="11" spans="1:1024" ht="17.45" customHeight="1">
      <c r="A11" s="26" t="s">
        <v>626</v>
      </c>
      <c r="B11" s="29" t="str">
        <f>Data!B7</f>
        <v>km/h</v>
      </c>
      <c r="C11" s="27"/>
      <c r="D11" s="27"/>
      <c r="E11" s="27"/>
      <c r="F11" s="27"/>
      <c r="G11" s="43"/>
      <c r="I11" s="8"/>
      <c r="J11" s="9"/>
      <c r="K11" s="10"/>
      <c r="L11" s="11"/>
      <c r="M11" s="12"/>
      <c r="N11" s="12"/>
      <c r="O11" s="8"/>
    </row>
    <row r="12" spans="1:1024" ht="17.45" customHeight="1">
      <c r="A12" s="20"/>
      <c r="B12" s="49"/>
    </row>
    <row r="13" spans="1:1024">
      <c r="A13"/>
      <c r="B13"/>
      <c r="C13"/>
      <c r="D13"/>
      <c r="E13"/>
      <c r="F13"/>
      <c r="G13" s="56" t="s">
        <v>382</v>
      </c>
      <c r="H13"/>
    </row>
    <row r="14" spans="1:1024">
      <c r="A14" s="56" t="s">
        <v>627</v>
      </c>
      <c r="B14" s="56" t="s">
        <v>629</v>
      </c>
      <c r="C14" s="56" t="s">
        <v>630</v>
      </c>
      <c r="D14" s="56" t="s">
        <v>631</v>
      </c>
      <c r="E14" s="56" t="s">
        <v>633</v>
      </c>
      <c r="F14" s="56" t="s">
        <v>240</v>
      </c>
      <c r="G14" t="s">
        <v>213</v>
      </c>
      <c r="H14" t="s">
        <v>636</v>
      </c>
    </row>
    <row r="15" spans="1:1024">
      <c r="A15" t="s">
        <v>570</v>
      </c>
      <c r="B15">
        <v>0</v>
      </c>
      <c r="C15">
        <v>0</v>
      </c>
      <c r="D15">
        <v>0</v>
      </c>
      <c r="E15" t="s">
        <v>575</v>
      </c>
      <c r="F15" t="s">
        <v>638</v>
      </c>
      <c r="G15" s="57">
        <v>1.2914204970002174E-2</v>
      </c>
      <c r="H15" s="58">
        <v>1.6701388888888891E-2</v>
      </c>
    </row>
    <row r="16" spans="1:1024">
      <c r="A16"/>
      <c r="B16"/>
      <c r="C16"/>
      <c r="D16"/>
      <c r="E16" t="s">
        <v>580</v>
      </c>
      <c r="F16" t="s">
        <v>639</v>
      </c>
      <c r="G16" s="57">
        <v>1.2914204970002174E-2</v>
      </c>
      <c r="H16" s="58">
        <v>1.6701388888888891E-2</v>
      </c>
    </row>
    <row r="17" spans="1:8">
      <c r="A17"/>
      <c r="B17" t="s">
        <v>581</v>
      </c>
      <c r="C17" t="s">
        <v>582</v>
      </c>
      <c r="D17" t="s">
        <v>583</v>
      </c>
      <c r="E17" t="s">
        <v>575</v>
      </c>
      <c r="F17" t="s">
        <v>638</v>
      </c>
      <c r="G17" s="57">
        <v>0.13645563647150993</v>
      </c>
      <c r="H17" s="58">
        <v>4.8310185185185178E-2</v>
      </c>
    </row>
    <row r="18" spans="1:8">
      <c r="A18"/>
      <c r="B18"/>
      <c r="C18"/>
      <c r="D18"/>
      <c r="E18" t="s">
        <v>580</v>
      </c>
      <c r="F18" t="s">
        <v>639</v>
      </c>
      <c r="G18" s="57">
        <v>0.26838475652039051</v>
      </c>
      <c r="H18" s="58">
        <v>6.025462962962963E-2</v>
      </c>
    </row>
    <row r="19" spans="1:8">
      <c r="A19" t="s">
        <v>587</v>
      </c>
      <c r="B19">
        <v>0</v>
      </c>
      <c r="C19">
        <v>0</v>
      </c>
      <c r="D19">
        <v>0</v>
      </c>
      <c r="E19" t="s">
        <v>575</v>
      </c>
      <c r="F19" t="s">
        <v>638</v>
      </c>
      <c r="G19" s="57">
        <v>0</v>
      </c>
      <c r="H19" s="58">
        <v>0.17516203703703703</v>
      </c>
    </row>
    <row r="20" spans="1:8">
      <c r="A20"/>
      <c r="B20"/>
      <c r="C20"/>
      <c r="D20"/>
      <c r="E20" t="s">
        <v>580</v>
      </c>
      <c r="F20" t="s">
        <v>639</v>
      </c>
      <c r="G20" s="57">
        <v>0</v>
      </c>
      <c r="H20" s="58">
        <v>0.17900462962962962</v>
      </c>
    </row>
    <row r="21" spans="1:8">
      <c r="A21" t="s">
        <v>592</v>
      </c>
      <c r="B21">
        <v>0</v>
      </c>
      <c r="C21">
        <v>0</v>
      </c>
      <c r="D21">
        <v>0</v>
      </c>
      <c r="E21" t="s">
        <v>580</v>
      </c>
      <c r="F21" t="s">
        <v>639</v>
      </c>
      <c r="G21" s="57">
        <v>9.7542405128479004E-2</v>
      </c>
      <c r="H21" s="58">
        <v>5.0115740740740737E-3</v>
      </c>
    </row>
    <row r="22" spans="1:8">
      <c r="A22" t="s">
        <v>598</v>
      </c>
      <c r="B22" t="s">
        <v>603</v>
      </c>
      <c r="C22" t="s">
        <v>604</v>
      </c>
      <c r="D22" t="s">
        <v>605</v>
      </c>
      <c r="E22" t="s">
        <v>580</v>
      </c>
      <c r="F22" t="s">
        <v>639</v>
      </c>
      <c r="G22" s="57">
        <v>5.4281525313854218E-2</v>
      </c>
      <c r="H22" s="58">
        <v>3.5300925925925925E-3</v>
      </c>
    </row>
    <row r="23" spans="1:8">
      <c r="A23" t="s">
        <v>609</v>
      </c>
      <c r="B23" t="s">
        <v>614</v>
      </c>
      <c r="C23" t="s">
        <v>615</v>
      </c>
      <c r="D23" t="s">
        <v>616</v>
      </c>
      <c r="E23" t="s">
        <v>575</v>
      </c>
      <c r="F23" t="s">
        <v>638</v>
      </c>
      <c r="G23" s="57">
        <v>0</v>
      </c>
      <c r="H23" s="58">
        <v>3.8321759259259257E-2</v>
      </c>
    </row>
    <row r="24" spans="1:8">
      <c r="A24"/>
      <c r="B24"/>
      <c r="C24"/>
      <c r="D24"/>
      <c r="E24" t="s">
        <v>580</v>
      </c>
      <c r="F24" t="s">
        <v>639</v>
      </c>
      <c r="G24" s="57">
        <v>0</v>
      </c>
      <c r="H24" s="58">
        <v>4.524305555555555E-2</v>
      </c>
    </row>
    <row r="25" spans="1:8">
      <c r="A25" t="s">
        <v>383</v>
      </c>
      <c r="B25"/>
      <c r="C25"/>
      <c r="D25"/>
      <c r="E25"/>
      <c r="F25"/>
      <c r="G25" s="57">
        <v>0.58249273337423801</v>
      </c>
      <c r="H25" s="58">
        <v>0.58824074074074073</v>
      </c>
    </row>
    <row r="26" spans="1:8">
      <c r="A26"/>
      <c r="B26"/>
      <c r="C26"/>
    </row>
    <row r="27" spans="1:8">
      <c r="A27"/>
      <c r="B27"/>
      <c r="C27"/>
    </row>
    <row r="28" spans="1:8">
      <c r="A28"/>
      <c r="B28"/>
      <c r="C28"/>
    </row>
    <row r="29" spans="1:8">
      <c r="A29"/>
      <c r="B29"/>
      <c r="C29"/>
    </row>
    <row r="30" spans="1:8">
      <c r="A30"/>
      <c r="B30"/>
      <c r="C30"/>
    </row>
  </sheetData>
  <mergeCells count="1">
    <mergeCell ref="A4:B4"/>
  </mergeCells>
  <pageMargins left="0.7" right="0.7" top="0.75" bottom="0.75" header="0.51180555555555496" footer="0.51180555555555496"/>
  <pageSetup firstPageNumber="0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5"/>
  <sheetViews>
    <sheetView zoomScaleNormal="100" workbookViewId="0"/>
  </sheetViews>
  <sheetFormatPr defaultColWidth="8.85546875" defaultRowHeight="12.75"/>
  <cols>
    <col min="1" max="5" width="30.140625" customWidth="1"/>
    <col min="6" max="6" width="30.140625" style="50" customWidth="1"/>
    <col min="7" max="8" width="30.140625" customWidth="1"/>
    <col min="9" max="10" width="30.140625" style="50" customWidth="1"/>
    <col min="11" max="24" width="30.140625" customWidth="1"/>
  </cols>
  <sheetData>
    <row r="1" spans="1:24" s="51" customFormat="1">
      <c r="A1" s="51" t="s">
        <v>57</v>
      </c>
      <c r="B1" s="51" t="s">
        <v>418</v>
      </c>
      <c r="C1" s="51" t="s">
        <v>58</v>
      </c>
      <c r="D1" s="51" t="s">
        <v>59</v>
      </c>
      <c r="E1" s="51" t="s">
        <v>60</v>
      </c>
      <c r="F1" s="51" t="s">
        <v>61</v>
      </c>
      <c r="G1" s="51" t="s">
        <v>62</v>
      </c>
      <c r="H1" s="51" t="s">
        <v>63</v>
      </c>
      <c r="I1" s="51" t="s">
        <v>64</v>
      </c>
      <c r="J1" s="51" t="s">
        <v>65</v>
      </c>
      <c r="K1" s="51" t="s">
        <v>66</v>
      </c>
      <c r="L1" s="51" t="s">
        <v>67</v>
      </c>
      <c r="M1" s="51" t="s">
        <v>68</v>
      </c>
      <c r="N1" s="51" t="s">
        <v>69</v>
      </c>
      <c r="O1" s="51" t="s">
        <v>336</v>
      </c>
      <c r="P1" s="51" t="s">
        <v>384</v>
      </c>
      <c r="Q1" s="51" t="s">
        <v>407</v>
      </c>
      <c r="R1" s="51" t="s">
        <v>425</v>
      </c>
      <c r="S1" s="51" t="s">
        <v>450</v>
      </c>
      <c r="T1" s="51" t="s">
        <v>468</v>
      </c>
      <c r="U1" s="51" t="s">
        <v>469</v>
      </c>
      <c r="V1" s="51" t="s">
        <v>470</v>
      </c>
      <c r="W1" s="51" t="s">
        <v>471</v>
      </c>
      <c r="X1" s="51" t="s">
        <v>472</v>
      </c>
    </row>
    <row r="2" spans="1:24">
      <c r="A2" t="s">
        <v>42</v>
      </c>
      <c r="B2" t="s">
        <v>70</v>
      </c>
      <c r="C2" t="s">
        <v>71</v>
      </c>
      <c r="D2" t="s">
        <v>72</v>
      </c>
      <c r="E2" s="52" t="s">
        <v>73</v>
      </c>
      <c r="F2" s="50" t="s">
        <v>74</v>
      </c>
      <c r="G2" t="s">
        <v>71</v>
      </c>
      <c r="H2" t="s">
        <v>75</v>
      </c>
      <c r="I2" s="50" t="s">
        <v>71</v>
      </c>
      <c r="J2" s="53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337</v>
      </c>
      <c r="P2" t="s">
        <v>385</v>
      </c>
      <c r="Q2" t="s">
        <v>408</v>
      </c>
      <c r="R2" t="s">
        <v>426</v>
      </c>
      <c r="S2" t="s">
        <v>451</v>
      </c>
      <c r="T2" t="s">
        <v>473</v>
      </c>
      <c r="U2" t="s">
        <v>474</v>
      </c>
      <c r="V2" t="s">
        <v>475</v>
      </c>
      <c r="W2" t="s">
        <v>80</v>
      </c>
      <c r="X2" t="s">
        <v>476</v>
      </c>
    </row>
    <row r="3" spans="1:24">
      <c r="A3" t="s">
        <v>44</v>
      </c>
      <c r="B3" t="s">
        <v>81</v>
      </c>
      <c r="C3" t="s">
        <v>82</v>
      </c>
      <c r="D3" t="s">
        <v>83</v>
      </c>
      <c r="E3" s="52" t="s">
        <v>84</v>
      </c>
      <c r="F3" s="50" t="s">
        <v>85</v>
      </c>
      <c r="G3" t="s">
        <v>86</v>
      </c>
      <c r="H3" t="s">
        <v>87</v>
      </c>
      <c r="I3" s="50" t="s">
        <v>86</v>
      </c>
      <c r="J3" s="5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338</v>
      </c>
      <c r="P3" t="s">
        <v>386</v>
      </c>
      <c r="Q3" t="s">
        <v>81</v>
      </c>
      <c r="R3" t="s">
        <v>427</v>
      </c>
      <c r="S3" t="s">
        <v>88</v>
      </c>
      <c r="T3" t="s">
        <v>477</v>
      </c>
      <c r="U3" t="s">
        <v>478</v>
      </c>
      <c r="V3" t="s">
        <v>479</v>
      </c>
      <c r="W3" t="s">
        <v>477</v>
      </c>
      <c r="X3" t="s">
        <v>480</v>
      </c>
    </row>
    <row r="4" spans="1:24">
      <c r="A4" t="s">
        <v>45</v>
      </c>
      <c r="B4" t="s">
        <v>93</v>
      </c>
      <c r="C4" t="s">
        <v>94</v>
      </c>
      <c r="D4" t="s">
        <v>95</v>
      </c>
      <c r="E4" s="52" t="s">
        <v>96</v>
      </c>
      <c r="F4" s="50" t="s">
        <v>97</v>
      </c>
      <c r="G4" t="s">
        <v>98</v>
      </c>
      <c r="H4" t="s">
        <v>99</v>
      </c>
      <c r="I4" s="50" t="s">
        <v>100</v>
      </c>
      <c r="J4" s="53" t="s">
        <v>101</v>
      </c>
      <c r="K4" t="s">
        <v>102</v>
      </c>
      <c r="L4" t="s">
        <v>103</v>
      </c>
      <c r="M4" t="s">
        <v>104</v>
      </c>
      <c r="N4" t="s">
        <v>105</v>
      </c>
      <c r="O4" t="s">
        <v>339</v>
      </c>
      <c r="P4" t="s">
        <v>387</v>
      </c>
      <c r="Q4" t="s">
        <v>93</v>
      </c>
      <c r="R4" t="s">
        <v>428</v>
      </c>
      <c r="S4" t="s">
        <v>101</v>
      </c>
      <c r="T4" t="s">
        <v>481</v>
      </c>
      <c r="U4" t="s">
        <v>482</v>
      </c>
      <c r="V4" t="s">
        <v>483</v>
      </c>
      <c r="W4" t="s">
        <v>484</v>
      </c>
      <c r="X4" t="s">
        <v>485</v>
      </c>
    </row>
    <row r="5" spans="1:24">
      <c r="A5" t="s">
        <v>43</v>
      </c>
      <c r="B5" t="s">
        <v>106</v>
      </c>
      <c r="C5" t="s">
        <v>107</v>
      </c>
      <c r="D5" t="s">
        <v>108</v>
      </c>
      <c r="E5" s="52" t="s">
        <v>109</v>
      </c>
      <c r="F5" s="50" t="s">
        <v>110</v>
      </c>
      <c r="G5" t="s">
        <v>111</v>
      </c>
      <c r="H5" t="s">
        <v>112</v>
      </c>
      <c r="I5" s="50" t="s">
        <v>113</v>
      </c>
      <c r="J5" s="53" t="s">
        <v>114</v>
      </c>
      <c r="K5" t="s">
        <v>115</v>
      </c>
      <c r="L5" t="s">
        <v>116</v>
      </c>
      <c r="M5" t="s">
        <v>117</v>
      </c>
      <c r="N5" t="s">
        <v>118</v>
      </c>
      <c r="O5" t="s">
        <v>340</v>
      </c>
      <c r="P5" t="s">
        <v>388</v>
      </c>
      <c r="Q5" t="s">
        <v>409</v>
      </c>
      <c r="R5" t="s">
        <v>429</v>
      </c>
      <c r="S5" t="s">
        <v>452</v>
      </c>
      <c r="T5" t="s">
        <v>486</v>
      </c>
      <c r="U5" t="s">
        <v>487</v>
      </c>
      <c r="V5" t="s">
        <v>488</v>
      </c>
      <c r="W5" t="s">
        <v>489</v>
      </c>
      <c r="X5" t="s">
        <v>490</v>
      </c>
    </row>
    <row r="6" spans="1:24">
      <c r="A6" t="s">
        <v>46</v>
      </c>
      <c r="B6" t="s">
        <v>119</v>
      </c>
      <c r="C6" t="s">
        <v>120</v>
      </c>
      <c r="D6" t="s">
        <v>121</v>
      </c>
      <c r="E6" s="52" t="s">
        <v>122</v>
      </c>
      <c r="F6" s="50" t="s">
        <v>123</v>
      </c>
      <c r="G6" t="s">
        <v>124</v>
      </c>
      <c r="H6" t="s">
        <v>125</v>
      </c>
      <c r="I6" s="50" t="s">
        <v>126</v>
      </c>
      <c r="J6" s="53" t="s">
        <v>127</v>
      </c>
      <c r="K6" t="s">
        <v>128</v>
      </c>
      <c r="L6" t="s">
        <v>129</v>
      </c>
      <c r="M6" t="s">
        <v>130</v>
      </c>
      <c r="N6" t="s">
        <v>131</v>
      </c>
      <c r="O6" t="s">
        <v>341</v>
      </c>
      <c r="P6" t="s">
        <v>389</v>
      </c>
      <c r="Q6" t="s">
        <v>119</v>
      </c>
      <c r="R6" t="s">
        <v>430</v>
      </c>
      <c r="S6" t="s">
        <v>453</v>
      </c>
      <c r="T6" t="s">
        <v>491</v>
      </c>
      <c r="U6" t="s">
        <v>492</v>
      </c>
      <c r="V6" t="s">
        <v>493</v>
      </c>
      <c r="W6" t="s">
        <v>491</v>
      </c>
      <c r="X6" t="s">
        <v>494</v>
      </c>
    </row>
    <row r="7" spans="1:24">
      <c r="A7" t="s">
        <v>47</v>
      </c>
      <c r="B7" t="s">
        <v>132</v>
      </c>
      <c r="C7" t="s">
        <v>133</v>
      </c>
      <c r="D7" t="s">
        <v>134</v>
      </c>
      <c r="E7" s="52" t="s">
        <v>135</v>
      </c>
      <c r="F7" s="50" t="s">
        <v>136</v>
      </c>
      <c r="G7" t="s">
        <v>137</v>
      </c>
      <c r="H7" t="s">
        <v>138</v>
      </c>
      <c r="I7" s="50" t="s">
        <v>139</v>
      </c>
      <c r="J7" s="53" t="s">
        <v>140</v>
      </c>
      <c r="K7" t="s">
        <v>141</v>
      </c>
      <c r="L7" t="s">
        <v>142</v>
      </c>
      <c r="M7" t="s">
        <v>143</v>
      </c>
      <c r="N7" t="s">
        <v>144</v>
      </c>
      <c r="O7" t="s">
        <v>342</v>
      </c>
      <c r="P7" t="s">
        <v>390</v>
      </c>
      <c r="Q7" t="s">
        <v>410</v>
      </c>
      <c r="R7" t="s">
        <v>431</v>
      </c>
      <c r="S7" t="s">
        <v>454</v>
      </c>
      <c r="T7" t="s">
        <v>495</v>
      </c>
      <c r="U7" t="s">
        <v>496</v>
      </c>
      <c r="V7" t="s">
        <v>497</v>
      </c>
      <c r="W7" t="s">
        <v>495</v>
      </c>
      <c r="X7" t="s">
        <v>498</v>
      </c>
    </row>
    <row r="8" spans="1:24">
      <c r="A8" t="s">
        <v>48</v>
      </c>
      <c r="B8" t="s">
        <v>145</v>
      </c>
      <c r="C8" t="s">
        <v>146</v>
      </c>
      <c r="D8" t="s">
        <v>147</v>
      </c>
      <c r="E8" s="52" t="s">
        <v>148</v>
      </c>
      <c r="F8" s="50" t="s">
        <v>149</v>
      </c>
      <c r="G8" t="s">
        <v>150</v>
      </c>
      <c r="H8" t="s">
        <v>147</v>
      </c>
      <c r="I8" s="50" t="s">
        <v>151</v>
      </c>
      <c r="J8" s="53" t="s">
        <v>152</v>
      </c>
      <c r="K8" t="s">
        <v>153</v>
      </c>
      <c r="L8" t="s">
        <v>154</v>
      </c>
      <c r="M8" t="s">
        <v>155</v>
      </c>
      <c r="N8" t="s">
        <v>147</v>
      </c>
      <c r="O8" t="s">
        <v>343</v>
      </c>
      <c r="P8" t="s">
        <v>391</v>
      </c>
      <c r="Q8" t="s">
        <v>145</v>
      </c>
      <c r="R8" t="s">
        <v>432</v>
      </c>
      <c r="S8" t="s">
        <v>455</v>
      </c>
      <c r="T8" t="s">
        <v>147</v>
      </c>
      <c r="U8" t="s">
        <v>499</v>
      </c>
      <c r="V8" t="s">
        <v>500</v>
      </c>
      <c r="W8" t="s">
        <v>147</v>
      </c>
      <c r="X8" t="s">
        <v>155</v>
      </c>
    </row>
    <row r="9" spans="1:24">
      <c r="A9" t="s">
        <v>49</v>
      </c>
      <c r="B9" t="s">
        <v>156</v>
      </c>
      <c r="C9" t="s">
        <v>157</v>
      </c>
      <c r="D9" t="s">
        <v>158</v>
      </c>
      <c r="E9" s="52" t="s">
        <v>159</v>
      </c>
      <c r="F9" s="50" t="s">
        <v>160</v>
      </c>
      <c r="G9" t="s">
        <v>161</v>
      </c>
      <c r="H9" t="s">
        <v>162</v>
      </c>
      <c r="I9" s="50" t="s">
        <v>163</v>
      </c>
      <c r="J9" s="53" t="s">
        <v>159</v>
      </c>
      <c r="K9" t="s">
        <v>164</v>
      </c>
      <c r="L9" t="s">
        <v>165</v>
      </c>
      <c r="M9" t="s">
        <v>166</v>
      </c>
      <c r="N9" t="s">
        <v>167</v>
      </c>
      <c r="O9" t="s">
        <v>344</v>
      </c>
      <c r="P9" t="s">
        <v>165</v>
      </c>
      <c r="Q9" t="s">
        <v>156</v>
      </c>
      <c r="R9" t="s">
        <v>433</v>
      </c>
      <c r="S9" t="s">
        <v>159</v>
      </c>
      <c r="T9" t="s">
        <v>501</v>
      </c>
      <c r="U9" t="s">
        <v>502</v>
      </c>
      <c r="V9" t="s">
        <v>503</v>
      </c>
      <c r="W9" t="s">
        <v>504</v>
      </c>
      <c r="X9" t="s">
        <v>166</v>
      </c>
    </row>
    <row r="10" spans="1:24">
      <c r="A10" t="s">
        <v>50</v>
      </c>
      <c r="B10" t="s">
        <v>168</v>
      </c>
      <c r="C10" t="s">
        <v>169</v>
      </c>
      <c r="D10" t="s">
        <v>170</v>
      </c>
      <c r="E10" s="52" t="s">
        <v>171</v>
      </c>
      <c r="F10" s="50" t="s">
        <v>172</v>
      </c>
      <c r="G10" t="s">
        <v>173</v>
      </c>
      <c r="H10" t="s">
        <v>174</v>
      </c>
      <c r="I10" s="50" t="s">
        <v>175</v>
      </c>
      <c r="J10" s="53" t="s">
        <v>176</v>
      </c>
      <c r="K10" t="s">
        <v>177</v>
      </c>
      <c r="L10" t="s">
        <v>178</v>
      </c>
      <c r="M10" t="s">
        <v>179</v>
      </c>
      <c r="N10" t="s">
        <v>180</v>
      </c>
      <c r="O10" t="s">
        <v>345</v>
      </c>
      <c r="P10" t="s">
        <v>392</v>
      </c>
      <c r="Q10" t="s">
        <v>411</v>
      </c>
      <c r="R10" t="s">
        <v>434</v>
      </c>
      <c r="S10" t="s">
        <v>456</v>
      </c>
      <c r="T10" t="s">
        <v>505</v>
      </c>
      <c r="U10" t="s">
        <v>506</v>
      </c>
      <c r="V10" t="s">
        <v>507</v>
      </c>
      <c r="W10" t="s">
        <v>508</v>
      </c>
      <c r="X10" t="s">
        <v>179</v>
      </c>
    </row>
    <row r="11" spans="1:24">
      <c r="A11" t="s">
        <v>51</v>
      </c>
      <c r="B11" t="s">
        <v>36</v>
      </c>
      <c r="C11" t="s">
        <v>181</v>
      </c>
      <c r="D11" t="s">
        <v>182</v>
      </c>
      <c r="E11" s="52" t="s">
        <v>183</v>
      </c>
      <c r="F11" s="50" t="s">
        <v>56</v>
      </c>
      <c r="G11" t="s">
        <v>56</v>
      </c>
      <c r="H11" t="s">
        <v>182</v>
      </c>
      <c r="I11" s="50" t="s">
        <v>56</v>
      </c>
      <c r="J11" s="53" t="s">
        <v>184</v>
      </c>
      <c r="K11" t="s">
        <v>185</v>
      </c>
      <c r="L11" t="s">
        <v>186</v>
      </c>
      <c r="M11" t="s">
        <v>182</v>
      </c>
      <c r="N11" t="s">
        <v>182</v>
      </c>
      <c r="O11" t="s">
        <v>346</v>
      </c>
      <c r="P11" t="s">
        <v>393</v>
      </c>
      <c r="Q11" t="s">
        <v>36</v>
      </c>
      <c r="R11" t="s">
        <v>435</v>
      </c>
      <c r="S11" t="s">
        <v>184</v>
      </c>
      <c r="T11" t="s">
        <v>509</v>
      </c>
      <c r="U11" t="s">
        <v>510</v>
      </c>
      <c r="V11" t="s">
        <v>511</v>
      </c>
      <c r="W11" t="s">
        <v>509</v>
      </c>
      <c r="X11" t="s">
        <v>511</v>
      </c>
    </row>
    <row r="12" spans="1:24">
      <c r="A12" t="s">
        <v>52</v>
      </c>
      <c r="B12" t="s">
        <v>187</v>
      </c>
      <c r="C12" t="s">
        <v>188</v>
      </c>
      <c r="D12" t="s">
        <v>189</v>
      </c>
      <c r="E12" s="52" t="s">
        <v>190</v>
      </c>
      <c r="F12" s="50" t="s">
        <v>191</v>
      </c>
      <c r="G12" t="s">
        <v>192</v>
      </c>
      <c r="H12" t="s">
        <v>193</v>
      </c>
      <c r="I12" s="50" t="s">
        <v>194</v>
      </c>
      <c r="J12" s="53" t="s">
        <v>195</v>
      </c>
      <c r="K12" t="s">
        <v>196</v>
      </c>
      <c r="L12" t="s">
        <v>197</v>
      </c>
      <c r="M12" t="s">
        <v>198</v>
      </c>
      <c r="N12" t="s">
        <v>199</v>
      </c>
      <c r="O12" t="s">
        <v>347</v>
      </c>
      <c r="P12" t="s">
        <v>394</v>
      </c>
      <c r="Q12" t="s">
        <v>412</v>
      </c>
      <c r="R12" t="s">
        <v>436</v>
      </c>
      <c r="S12" t="s">
        <v>190</v>
      </c>
      <c r="T12" t="s">
        <v>512</v>
      </c>
      <c r="U12" t="s">
        <v>513</v>
      </c>
      <c r="V12" t="s">
        <v>514</v>
      </c>
      <c r="W12" t="s">
        <v>512</v>
      </c>
      <c r="X12" t="s">
        <v>515</v>
      </c>
    </row>
    <row r="13" spans="1:24">
      <c r="A13" t="s">
        <v>405</v>
      </c>
      <c r="B13" t="s">
        <v>200</v>
      </c>
      <c r="C13" t="s">
        <v>201</v>
      </c>
      <c r="D13" t="s">
        <v>202</v>
      </c>
      <c r="E13" s="52" t="s">
        <v>203</v>
      </c>
      <c r="F13" s="50" t="s">
        <v>204</v>
      </c>
      <c r="G13" t="s">
        <v>205</v>
      </c>
      <c r="H13" t="s">
        <v>206</v>
      </c>
      <c r="I13" s="50" t="s">
        <v>207</v>
      </c>
      <c r="J13" s="53" t="s">
        <v>208</v>
      </c>
      <c r="K13" t="s">
        <v>209</v>
      </c>
      <c r="L13" t="s">
        <v>210</v>
      </c>
      <c r="M13" t="s">
        <v>211</v>
      </c>
      <c r="N13" t="s">
        <v>212</v>
      </c>
      <c r="O13" t="s">
        <v>348</v>
      </c>
      <c r="P13" t="s">
        <v>395</v>
      </c>
      <c r="Q13" t="s">
        <v>200</v>
      </c>
      <c r="R13" t="s">
        <v>437</v>
      </c>
      <c r="S13" t="s">
        <v>457</v>
      </c>
      <c r="T13" t="s">
        <v>516</v>
      </c>
      <c r="U13" t="s">
        <v>517</v>
      </c>
      <c r="V13" t="s">
        <v>518</v>
      </c>
      <c r="W13" t="s">
        <v>519</v>
      </c>
      <c r="X13" t="s">
        <v>520</v>
      </c>
    </row>
    <row r="14" spans="1:24">
      <c r="A14" t="s">
        <v>406</v>
      </c>
      <c r="B14" t="s">
        <v>213</v>
      </c>
      <c r="C14" t="s">
        <v>214</v>
      </c>
      <c r="D14" t="s">
        <v>215</v>
      </c>
      <c r="E14" s="52" t="s">
        <v>216</v>
      </c>
      <c r="F14" s="50" t="s">
        <v>217</v>
      </c>
      <c r="G14" t="s">
        <v>218</v>
      </c>
      <c r="H14" t="s">
        <v>219</v>
      </c>
      <c r="I14" s="50" t="s">
        <v>220</v>
      </c>
      <c r="J14" s="53" t="s">
        <v>221</v>
      </c>
      <c r="K14" t="s">
        <v>222</v>
      </c>
      <c r="L14" t="s">
        <v>223</v>
      </c>
      <c r="M14" t="s">
        <v>224</v>
      </c>
      <c r="N14" t="s">
        <v>225</v>
      </c>
      <c r="O14" t="s">
        <v>349</v>
      </c>
      <c r="P14" t="s">
        <v>223</v>
      </c>
      <c r="Q14" t="s">
        <v>213</v>
      </c>
      <c r="R14" t="s">
        <v>438</v>
      </c>
      <c r="S14" t="s">
        <v>216</v>
      </c>
      <c r="T14" t="s">
        <v>219</v>
      </c>
      <c r="U14" t="s">
        <v>521</v>
      </c>
      <c r="V14" t="s">
        <v>522</v>
      </c>
      <c r="W14" t="s">
        <v>523</v>
      </c>
      <c r="X14" t="s">
        <v>524</v>
      </c>
    </row>
    <row r="15" spans="1:24">
      <c r="A15" t="s">
        <v>53</v>
      </c>
      <c r="B15" t="s">
        <v>226</v>
      </c>
      <c r="C15" t="s">
        <v>227</v>
      </c>
      <c r="D15" t="s">
        <v>228</v>
      </c>
      <c r="E15" s="52" t="s">
        <v>229</v>
      </c>
      <c r="F15" s="50" t="s">
        <v>230</v>
      </c>
      <c r="G15" t="s">
        <v>231</v>
      </c>
      <c r="H15" t="s">
        <v>232</v>
      </c>
      <c r="I15" s="50" t="s">
        <v>233</v>
      </c>
      <c r="J15" s="53" t="s">
        <v>234</v>
      </c>
      <c r="K15" t="s">
        <v>235</v>
      </c>
      <c r="L15" t="s">
        <v>236</v>
      </c>
      <c r="M15" t="s">
        <v>237</v>
      </c>
      <c r="N15" t="s">
        <v>232</v>
      </c>
      <c r="O15" t="s">
        <v>350</v>
      </c>
      <c r="P15" t="s">
        <v>396</v>
      </c>
      <c r="Q15" t="s">
        <v>413</v>
      </c>
      <c r="R15" t="s">
        <v>439</v>
      </c>
      <c r="S15" t="s">
        <v>458</v>
      </c>
      <c r="T15" t="s">
        <v>525</v>
      </c>
      <c r="U15" t="s">
        <v>526</v>
      </c>
      <c r="V15" t="s">
        <v>527</v>
      </c>
      <c r="W15" t="s">
        <v>525</v>
      </c>
      <c r="X15" t="s">
        <v>528</v>
      </c>
    </row>
    <row r="16" spans="1:24">
      <c r="A16" t="s">
        <v>54</v>
      </c>
      <c r="B16" t="s">
        <v>238</v>
      </c>
      <c r="C16" t="s">
        <v>239</v>
      </c>
      <c r="D16" t="s">
        <v>240</v>
      </c>
      <c r="E16" s="52" t="s">
        <v>241</v>
      </c>
      <c r="F16" s="50" t="s">
        <v>242</v>
      </c>
      <c r="G16" t="s">
        <v>243</v>
      </c>
      <c r="H16" t="s">
        <v>240</v>
      </c>
      <c r="I16" s="50" t="s">
        <v>244</v>
      </c>
      <c r="J16" s="53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351</v>
      </c>
      <c r="P16" t="s">
        <v>397</v>
      </c>
      <c r="Q16" t="s">
        <v>238</v>
      </c>
      <c r="R16" t="s">
        <v>440</v>
      </c>
      <c r="S16" t="s">
        <v>459</v>
      </c>
      <c r="T16" t="s">
        <v>249</v>
      </c>
      <c r="U16" t="s">
        <v>529</v>
      </c>
      <c r="V16" t="s">
        <v>530</v>
      </c>
      <c r="W16" t="s">
        <v>249</v>
      </c>
      <c r="X16" t="s">
        <v>248</v>
      </c>
    </row>
    <row r="17" spans="1:24">
      <c r="A17" t="s">
        <v>35</v>
      </c>
      <c r="B17" t="s">
        <v>250</v>
      </c>
      <c r="C17" t="s">
        <v>251</v>
      </c>
      <c r="D17" t="s">
        <v>252</v>
      </c>
      <c r="E17" s="52" t="s">
        <v>253</v>
      </c>
      <c r="F17" s="50" t="s">
        <v>254</v>
      </c>
      <c r="G17" t="s">
        <v>255</v>
      </c>
      <c r="H17" t="s">
        <v>256</v>
      </c>
      <c r="I17" s="50" t="s">
        <v>257</v>
      </c>
      <c r="J17" s="53" t="s">
        <v>258</v>
      </c>
      <c r="K17" t="s">
        <v>259</v>
      </c>
      <c r="L17" t="s">
        <v>260</v>
      </c>
      <c r="M17" t="s">
        <v>261</v>
      </c>
      <c r="N17" t="s">
        <v>262</v>
      </c>
      <c r="O17" t="s">
        <v>352</v>
      </c>
      <c r="P17" t="s">
        <v>398</v>
      </c>
      <c r="Q17" t="s">
        <v>414</v>
      </c>
      <c r="R17" t="s">
        <v>441</v>
      </c>
      <c r="S17" t="s">
        <v>460</v>
      </c>
      <c r="T17" t="s">
        <v>531</v>
      </c>
      <c r="U17" t="s">
        <v>532</v>
      </c>
      <c r="V17" t="s">
        <v>533</v>
      </c>
      <c r="W17" t="s">
        <v>534</v>
      </c>
      <c r="X17" t="s">
        <v>535</v>
      </c>
    </row>
    <row r="18" spans="1:24">
      <c r="A18" t="s">
        <v>263</v>
      </c>
      <c r="B18" t="s">
        <v>264</v>
      </c>
      <c r="C18" t="s">
        <v>265</v>
      </c>
      <c r="D18" t="s">
        <v>266</v>
      </c>
      <c r="E18" s="52" t="s">
        <v>267</v>
      </c>
      <c r="F18" s="50" t="s">
        <v>268</v>
      </c>
      <c r="G18" t="s">
        <v>269</v>
      </c>
      <c r="H18" t="s">
        <v>270</v>
      </c>
      <c r="I18" s="50" t="s">
        <v>271</v>
      </c>
      <c r="J18" s="53" t="s">
        <v>272</v>
      </c>
      <c r="K18" t="s">
        <v>273</v>
      </c>
      <c r="L18" t="s">
        <v>274</v>
      </c>
      <c r="M18" t="s">
        <v>275</v>
      </c>
      <c r="N18" t="s">
        <v>276</v>
      </c>
      <c r="O18" t="s">
        <v>353</v>
      </c>
      <c r="P18" t="s">
        <v>399</v>
      </c>
      <c r="Q18" t="s">
        <v>264</v>
      </c>
      <c r="R18" t="s">
        <v>442</v>
      </c>
      <c r="S18" t="s">
        <v>461</v>
      </c>
      <c r="T18" t="s">
        <v>536</v>
      </c>
      <c r="U18" t="s">
        <v>537</v>
      </c>
      <c r="V18" t="s">
        <v>538</v>
      </c>
      <c r="W18" t="s">
        <v>539</v>
      </c>
      <c r="X18" t="s">
        <v>540</v>
      </c>
    </row>
    <row r="19" spans="1:24">
      <c r="A19" t="s">
        <v>37</v>
      </c>
      <c r="B19" t="s">
        <v>277</v>
      </c>
      <c r="C19" t="s">
        <v>278</v>
      </c>
      <c r="D19" t="s">
        <v>279</v>
      </c>
      <c r="E19" s="52" t="s">
        <v>280</v>
      </c>
      <c r="F19" s="50" t="s">
        <v>281</v>
      </c>
      <c r="G19" t="s">
        <v>278</v>
      </c>
      <c r="H19" t="s">
        <v>282</v>
      </c>
      <c r="I19" s="50" t="s">
        <v>283</v>
      </c>
      <c r="J19" s="53" t="s">
        <v>284</v>
      </c>
      <c r="K19" t="s">
        <v>285</v>
      </c>
      <c r="L19" t="s">
        <v>286</v>
      </c>
      <c r="M19" t="s">
        <v>281</v>
      </c>
      <c r="N19" t="s">
        <v>287</v>
      </c>
      <c r="O19" t="s">
        <v>354</v>
      </c>
      <c r="P19" t="s">
        <v>400</v>
      </c>
      <c r="Q19" t="s">
        <v>415</v>
      </c>
      <c r="R19" t="s">
        <v>443</v>
      </c>
      <c r="S19" t="s">
        <v>462</v>
      </c>
      <c r="T19" t="s">
        <v>541</v>
      </c>
      <c r="U19" t="s">
        <v>542</v>
      </c>
      <c r="V19" t="s">
        <v>543</v>
      </c>
      <c r="W19" t="s">
        <v>541</v>
      </c>
      <c r="X19" t="s">
        <v>544</v>
      </c>
    </row>
    <row r="20" spans="1:24">
      <c r="A20" t="s">
        <v>38</v>
      </c>
      <c r="B20" t="s">
        <v>288</v>
      </c>
      <c r="C20" t="s">
        <v>289</v>
      </c>
      <c r="D20" t="s">
        <v>290</v>
      </c>
      <c r="E20" s="52" t="s">
        <v>291</v>
      </c>
      <c r="F20" s="50" t="s">
        <v>292</v>
      </c>
      <c r="G20" t="s">
        <v>289</v>
      </c>
      <c r="H20" t="s">
        <v>293</v>
      </c>
      <c r="I20" s="50" t="s">
        <v>294</v>
      </c>
      <c r="J20" s="53" t="s">
        <v>295</v>
      </c>
      <c r="K20" t="s">
        <v>296</v>
      </c>
      <c r="L20" t="s">
        <v>297</v>
      </c>
      <c r="M20" t="s">
        <v>298</v>
      </c>
      <c r="N20" t="s">
        <v>299</v>
      </c>
      <c r="O20" t="s">
        <v>355</v>
      </c>
      <c r="P20" t="s">
        <v>401</v>
      </c>
      <c r="Q20" t="s">
        <v>416</v>
      </c>
      <c r="R20" t="s">
        <v>444</v>
      </c>
      <c r="S20" t="s">
        <v>295</v>
      </c>
      <c r="T20" t="s">
        <v>545</v>
      </c>
      <c r="U20" t="s">
        <v>546</v>
      </c>
      <c r="V20" t="s">
        <v>547</v>
      </c>
      <c r="W20" t="s">
        <v>545</v>
      </c>
      <c r="X20" t="s">
        <v>292</v>
      </c>
    </row>
    <row r="21" spans="1:24">
      <c r="A21" t="s">
        <v>40</v>
      </c>
      <c r="B21" t="s">
        <v>300</v>
      </c>
      <c r="C21" t="s">
        <v>301</v>
      </c>
      <c r="D21" t="s">
        <v>302</v>
      </c>
      <c r="E21" s="52" t="s">
        <v>303</v>
      </c>
      <c r="F21" s="50" t="s">
        <v>304</v>
      </c>
      <c r="G21" t="s">
        <v>305</v>
      </c>
      <c r="H21" t="s">
        <v>306</v>
      </c>
      <c r="I21" s="50" t="s">
        <v>307</v>
      </c>
      <c r="J21" s="53" t="s">
        <v>308</v>
      </c>
      <c r="K21" t="s">
        <v>309</v>
      </c>
      <c r="L21" t="s">
        <v>310</v>
      </c>
      <c r="M21" t="s">
        <v>311</v>
      </c>
      <c r="N21" t="s">
        <v>312</v>
      </c>
      <c r="O21" t="s">
        <v>356</v>
      </c>
      <c r="P21" t="s">
        <v>402</v>
      </c>
      <c r="Q21" t="s">
        <v>300</v>
      </c>
      <c r="R21" t="s">
        <v>445</v>
      </c>
      <c r="S21" t="s">
        <v>463</v>
      </c>
      <c r="T21" t="s">
        <v>548</v>
      </c>
      <c r="U21" t="s">
        <v>549</v>
      </c>
      <c r="V21" t="s">
        <v>550</v>
      </c>
      <c r="W21" t="s">
        <v>551</v>
      </c>
      <c r="X21" t="s">
        <v>552</v>
      </c>
    </row>
    <row r="22" spans="1:24">
      <c r="A22" t="s">
        <v>41</v>
      </c>
      <c r="B22" t="s">
        <v>313</v>
      </c>
      <c r="C22" t="s">
        <v>314</v>
      </c>
      <c r="D22" t="s">
        <v>315</v>
      </c>
      <c r="E22" s="52" t="s">
        <v>316</v>
      </c>
      <c r="F22" s="50" t="s">
        <v>420</v>
      </c>
      <c r="G22" t="s">
        <v>317</v>
      </c>
      <c r="H22" t="s">
        <v>318</v>
      </c>
      <c r="I22" s="50" t="s">
        <v>421</v>
      </c>
      <c r="J22" s="53" t="s">
        <v>319</v>
      </c>
      <c r="K22" t="s">
        <v>320</v>
      </c>
      <c r="L22" t="s">
        <v>422</v>
      </c>
      <c r="M22" t="s">
        <v>321</v>
      </c>
      <c r="N22" t="s">
        <v>322</v>
      </c>
      <c r="O22" t="s">
        <v>357</v>
      </c>
      <c r="P22" t="s">
        <v>403</v>
      </c>
      <c r="Q22" t="s">
        <v>313</v>
      </c>
      <c r="R22" t="s">
        <v>446</v>
      </c>
      <c r="S22" t="s">
        <v>464</v>
      </c>
      <c r="T22" t="s">
        <v>553</v>
      </c>
      <c r="U22" t="s">
        <v>554</v>
      </c>
      <c r="V22" t="s">
        <v>555</v>
      </c>
      <c r="W22" t="s">
        <v>322</v>
      </c>
      <c r="X22" t="s">
        <v>556</v>
      </c>
    </row>
    <row r="23" spans="1:24">
      <c r="A23" t="s">
        <v>39</v>
      </c>
      <c r="B23" t="s">
        <v>323</v>
      </c>
      <c r="C23" t="s">
        <v>324</v>
      </c>
      <c r="D23" t="s">
        <v>325</v>
      </c>
      <c r="E23" s="52" t="s">
        <v>326</v>
      </c>
      <c r="F23" s="50" t="s">
        <v>327</v>
      </c>
      <c r="G23" t="s">
        <v>328</v>
      </c>
      <c r="H23" t="s">
        <v>329</v>
      </c>
      <c r="I23" s="50" t="s">
        <v>330</v>
      </c>
      <c r="J23" s="53" t="s">
        <v>331</v>
      </c>
      <c r="K23" t="s">
        <v>332</v>
      </c>
      <c r="L23" t="s">
        <v>333</v>
      </c>
      <c r="M23" t="s">
        <v>334</v>
      </c>
      <c r="N23" t="s">
        <v>335</v>
      </c>
      <c r="O23" t="s">
        <v>358</v>
      </c>
      <c r="P23" t="s">
        <v>404</v>
      </c>
      <c r="Q23" t="s">
        <v>323</v>
      </c>
      <c r="R23" t="s">
        <v>447</v>
      </c>
      <c r="S23" t="s">
        <v>465</v>
      </c>
      <c r="T23" t="s">
        <v>557</v>
      </c>
      <c r="U23" t="s">
        <v>558</v>
      </c>
      <c r="V23" t="s">
        <v>559</v>
      </c>
      <c r="W23" t="s">
        <v>560</v>
      </c>
      <c r="X23" t="s">
        <v>334</v>
      </c>
    </row>
    <row r="24" spans="1:24">
      <c r="A24" t="s">
        <v>55</v>
      </c>
      <c r="B24" s="54" t="s">
        <v>361</v>
      </c>
      <c r="C24" s="54" t="s">
        <v>362</v>
      </c>
      <c r="D24" s="54" t="s">
        <v>363</v>
      </c>
      <c r="E24" s="54" t="s">
        <v>364</v>
      </c>
      <c r="F24" s="55" t="s">
        <v>363</v>
      </c>
      <c r="G24" s="54" t="s">
        <v>363</v>
      </c>
      <c r="H24" s="54" t="s">
        <v>363</v>
      </c>
      <c r="I24" s="55" t="s">
        <v>365</v>
      </c>
      <c r="J24" s="55" t="s">
        <v>366</v>
      </c>
      <c r="K24" s="54" t="s">
        <v>367</v>
      </c>
      <c r="L24" s="54" t="s">
        <v>363</v>
      </c>
      <c r="M24" s="54" t="s">
        <v>368</v>
      </c>
      <c r="N24" s="54" t="s">
        <v>363</v>
      </c>
      <c r="O24" t="s">
        <v>359</v>
      </c>
      <c r="P24" t="s">
        <v>363</v>
      </c>
      <c r="Q24" t="s">
        <v>417</v>
      </c>
      <c r="R24" t="s">
        <v>448</v>
      </c>
      <c r="S24" t="s">
        <v>466</v>
      </c>
      <c r="T24" t="s">
        <v>363</v>
      </c>
      <c r="U24" t="s">
        <v>561</v>
      </c>
      <c r="V24" t="s">
        <v>562</v>
      </c>
      <c r="W24" t="s">
        <v>363</v>
      </c>
      <c r="X24" t="s">
        <v>368</v>
      </c>
    </row>
    <row r="25" spans="1:24">
      <c r="A25" t="s">
        <v>360</v>
      </c>
      <c r="B25" t="s">
        <v>369</v>
      </c>
      <c r="C25" t="s">
        <v>370</v>
      </c>
      <c r="D25" t="s">
        <v>371</v>
      </c>
      <c r="E25" t="s">
        <v>372</v>
      </c>
      <c r="F25" s="50" t="s">
        <v>373</v>
      </c>
      <c r="G25" t="s">
        <v>374</v>
      </c>
      <c r="H25" t="s">
        <v>375</v>
      </c>
      <c r="I25" s="50" t="s">
        <v>376</v>
      </c>
      <c r="J25" s="50" t="s">
        <v>419</v>
      </c>
      <c r="K25" t="s">
        <v>377</v>
      </c>
      <c r="L25" t="s">
        <v>378</v>
      </c>
      <c r="M25" t="s">
        <v>379</v>
      </c>
      <c r="N25" t="s">
        <v>380</v>
      </c>
      <c r="O25" t="s">
        <v>381</v>
      </c>
      <c r="P25" t="s">
        <v>378</v>
      </c>
      <c r="Q25" t="s">
        <v>369</v>
      </c>
      <c r="R25" t="s">
        <v>449</v>
      </c>
      <c r="S25" t="s">
        <v>467</v>
      </c>
      <c r="T25" t="s">
        <v>563</v>
      </c>
      <c r="U25" t="s">
        <v>564</v>
      </c>
      <c r="V25" t="s">
        <v>565</v>
      </c>
      <c r="W25" t="s">
        <v>566</v>
      </c>
      <c r="X25" t="s">
        <v>373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Report</vt:lpstr>
      <vt:lpstr>Summary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</dc:creator>
  <dc:description/>
  <cp:lastModifiedBy>SYSTEM</cp:lastModifiedBy>
  <cp:revision>4</cp:revision>
  <dcterms:created xsi:type="dcterms:W3CDTF">2009-06-11T14:10:24Z</dcterms:created>
  <dcterms:modified xsi:type="dcterms:W3CDTF">2025-11-16T03:57:45Z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